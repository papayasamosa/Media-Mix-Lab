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_HERE" sheetId="1" state="visible" r:id="rId1"/>
    <sheet name="BUILDER" sheetId="2" state="visible" r:id="rId2"/>
    <sheet name="DICTIONARY_OUTPUT" sheetId="3" state="visible" r:id="rId3"/>
    <sheet name="ALLOWED_VALUES" sheetId="4" state="visible" r:id="rId4"/>
    <sheet name="EXAMPLES" sheetId="5" state="visible" r:id="rId5"/>
  </sheets>
  <definedNames>
    <definedName name="_xlnm._FilterDatabase" localSheetId="3" hidden="1">'ALLOWED_VALUES'!$A$1:$D$39</definedName>
  </definedNames>
  <calcPr calcId="124519" fullCalcOnLoad="1" forceFullCalc="1"/>
</workbook>
</file>

<file path=xl/styles.xml><?xml version="1.0" encoding="utf-8"?>
<styleSheet xmlns="http://schemas.openxmlformats.org/spreadsheetml/2006/main">
  <numFmts count="0"/>
  <fonts count="5">
    <font>
      <name val="Calibri"/>
      <family val="2"/>
      <color theme="1"/>
      <sz val="11"/>
      <scheme val="minor"/>
    </font>
    <font>
      <b val="1"/>
      <color rgb="0012304A"/>
      <sz val="18"/>
    </font>
    <font>
      <i val="1"/>
      <color rgb="005D6B78"/>
    </font>
    <font>
      <b val="1"/>
      <color rgb="0012304A"/>
      <sz val="13"/>
    </font>
    <font>
      <b val="1"/>
      <color rgb="00FFFFFF"/>
    </font>
  </fonts>
  <fills count="5">
    <fill>
      <patternFill/>
    </fill>
    <fill>
      <patternFill patternType="gray125"/>
    </fill>
    <fill>
      <patternFill patternType="solid">
        <fgColor rgb="0012304A"/>
      </patternFill>
    </fill>
    <fill>
      <patternFill patternType="solid">
        <fgColor rgb="008C6A00"/>
      </patternFill>
    </fill>
    <fill>
      <patternFill patternType="solid">
        <fgColor rgb="005D6B78"/>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dxfs count="3">
    <dxf>
      <fill>
        <patternFill patternType="solid">
          <fgColor rgb="00FCE4E4"/>
        </patternFill>
      </fill>
    </dxf>
    <dxf>
      <fill>
        <patternFill patternType="solid">
          <fgColor rgb="00FFF1CC"/>
        </patternFill>
      </fill>
    </dxf>
    <dxf>
      <fill>
        <patternFill patternType="solid">
          <fgColor rgb="00E3F4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ActivityCandidates" displayName="ActivityCandidates" ref="A7:X31" headerRowCount="1">
  <autoFilter ref="A7:X31"/>
  <tableColumns count="24">
    <tableColumn id="1" name="channel"/>
    <tableColumn id="2" name="market"/>
    <tableColumn id="3" name="activity_ownership"/>
    <tableColumn id="4" name="intended_model_role"/>
    <tableColumn id="5" name="model_input_column"/>
    <tableColumn id="6" name="model_input_measure"/>
    <tableColumn id="7" name="economic_treatment"/>
    <tableColumn id="8" name="planning_eligibility"/>
    <tableColumn id="9" name="source"/>
    <tableColumn id="10" name="activity_id (existing)"/>
    <tableColumn id="11" name="Manual override"/>
    <tableColumn id="12" name="Generated ID"/>
    <tableColumn id="13" name="Final ID"/>
    <tableColumn id="14" name="Row status"/>
    <tableColumn id="15" name="platform"/>
    <tableColumn id="16" name="campaign_type"/>
    <tableColumn id="17" name="pooling_group_id"/>
    <tableColumn id="18" name="funnel_stage"/>
    <tableColumn id="19" name="marketing_objective"/>
    <tableColumn id="20" name="product_advertised"/>
    <tableColumn id="21" name="message_type"/>
    <tableColumn id="22" name="currency"/>
    <tableColumn id="23" name="effective_from"/>
    <tableColumn id="24" name="effective_to"/>
  </tableColumns>
  <tableStyleInfo name="TableStyleMedium2" showRowStripes="1" showColumnStripes="0"/>
</table>
</file>

<file path=xl/tables/table2.xml><?xml version="1.0" encoding="utf-8"?>
<table xmlns="http://schemas.openxmlformats.org/spreadsheetml/2006/main" id="2" name="DictionaryOutput" displayName="DictionaryOutput" ref="A1:Y25" headerRowCount="1">
  <autoFilter ref="A1:Y25"/>
  <tableColumns count="25">
    <tableColumn id="1" name="activity_id"/>
    <tableColumn id="2" name="market"/>
    <tableColumn id="3" name="pooling_group_id"/>
    <tableColumn id="4" name="channel"/>
    <tableColumn id="5" name="platform"/>
    <tableColumn id="6" name="campaign_type"/>
    <tableColumn id="7" name="marketing_objective"/>
    <tableColumn id="8" name="funnel_stage"/>
    <tableColumn id="9" name="product_advertised"/>
    <tableColumn id="10" name="message_type"/>
    <tableColumn id="11" name="activity_ownership"/>
    <tableColumn id="12" name="intended_model_role"/>
    <tableColumn id="13" name="model_input_column"/>
    <tableColumn id="14" name="model_input_measure"/>
    <tableColumn id="15" name="economic_treatment"/>
    <tableColumn id="16" name="planning_eligibility"/>
    <tableColumn id="17" name="source"/>
    <tableColumn id="18" name="model_input_unit"/>
    <tableColumn id="19" name="model_input_kind"/>
    <tableColumn id="20" name="spend_column"/>
    <tableColumn id="21" name="response_unit_column"/>
    <tableColumn id="22" name="response_unit"/>
    <tableColumn id="23" name="currency"/>
    <tableColumn id="24" name="effective_from"/>
    <tableColumn id="25" name="effective_to"/>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36"/>
  <sheetViews>
    <sheetView showGridLines="0" workbookViewId="0">
      <selection activeCell="A1" sqref="A1"/>
    </sheetView>
  </sheetViews>
  <sheetFormatPr baseColWidth="8" defaultRowHeight="15"/>
  <cols>
    <col width="130" customWidth="1" min="1" max="1"/>
  </cols>
  <sheetData>
    <row r="1">
      <c r="A1" s="1" t="inlineStr">
        <is>
          <t>Activity / Media Dictionary Builder</t>
        </is>
      </c>
    </row>
    <row r="2">
      <c r="A2" s="2" t="inlineStr">
        <is>
          <t>Formula-driven, no VBA -- builds a complete activity_dictionary row and its activity_id</t>
        </is>
      </c>
    </row>
    <row r="4">
      <c r="A4" s="3" t="inlineStr">
        <is>
          <t>What this builder is for</t>
        </is>
      </c>
    </row>
    <row r="5">
      <c r="A5" s="4" t="inlineStr">
        <is>
          <t>Use this workbook to define one row per activity (a channel/platform/campaign-type combination such as Paid Search - Google - Brand) that you have spend, clicks, or impressions for.</t>
        </is>
      </c>
    </row>
    <row r="6">
      <c r="A6" s="4" t="inlineStr">
        <is>
          <t>It builds a stable activity_id for you from the fields that genuinely distinguish one activity from another, and produces a clean row ready to paste into the activity_dictionary sheet of the standard Activity and Media upload workbook.</t>
        </is>
      </c>
    </row>
    <row r="8">
      <c r="A8" s="3" t="inlineStr">
        <is>
          <t>What you need to fill in</t>
        </is>
      </c>
    </row>
    <row r="9">
      <c r="A9" s="4" t="inlineStr">
        <is>
          <t>Go to the BUILDER sheet. Fill in channel, market, activity_ownership, intended_model_role, model_input_measure, economic_treatment, planning_eligibility, and source for every activity row.</t>
        </is>
      </c>
    </row>
    <row r="10">
      <c r="A10" s="4" t="inlineStr">
        <is>
          <t>For Paid Search activities you want split by Google/Bing and Brand/Non-Brand, also fill in platform and campaign_type -- the same two ordinary dictionary fields any other channel would use, not special Search-only inputs.</t>
        </is>
      </c>
    </row>
    <row r="11">
      <c r="A11" s="4" t="inlineStr">
        <is>
          <t>Only fill in the grey (optional/advanced) columns if you have the information handy -- they are reporting metadata, not fit or planning inputs.</t>
        </is>
      </c>
    </row>
    <row r="13">
      <c r="A13" s="3" t="inlineStr">
        <is>
          <t>What is generated automatically</t>
        </is>
      </c>
    </row>
    <row r="14">
      <c r="A14" s="4" t="inlineStr">
        <is>
          <t>Generated ID -- built from channel plus whichever of platform and campaign_type you filled in.</t>
        </is>
      </c>
    </row>
    <row r="15">
      <c r="A15" s="4" t="inlineStr">
        <is>
          <t>Final ID -- the Generated ID, unless you type something in Manual override.</t>
        </is>
      </c>
    </row>
    <row r="16">
      <c r="A16" s="4" t="inlineStr">
        <is>
          <t>Row status -- plain-English text telling you if the row is Ready, missing something, or a duplicate.</t>
        </is>
      </c>
    </row>
    <row r="17">
      <c r="A17" s="4" t="inlineStr">
        <is>
          <t>The DICTIONARY_OUTPUT sheet -- every column the upload expects, in the right order, computed live from your BUILDER entries.</t>
        </is>
      </c>
    </row>
    <row r="19">
      <c r="A19" s="3" t="inlineStr">
        <is>
          <t>What is required, conditional, and optional</t>
        </is>
      </c>
    </row>
    <row r="20">
      <c r="A20" s="4" t="inlineStr">
        <is>
          <t>Required (white columns): channel, market, activity_ownership, intended_model_role, model_input_measure, economic_treatment, planning_eligibility, source.</t>
        </is>
      </c>
    </row>
    <row r="21">
      <c r="A21" s="4" t="inlineStr">
        <is>
          <t>Conditional (amber columns): platform, campaign_type -- fill these in when they help distinguish one activity from another (Google vs Bing, Brand vs Non-Brand); the upload does currently reject a truly empty cell, so a blank one defaults to not specified in DICTIONARY_OUTPUT.</t>
        </is>
      </c>
    </row>
    <row r="22">
      <c r="A22" s="4" t="inlineStr">
        <is>
          <t>Optional / advanced (grey columns): pooling_group_id, funnel_stage, marketing_objective, product_advertised, message_type, currency, effective_from, effective_to. The schema-necessity review confirmed the model, canonicalisation, and optimiser never read these values -- only reporting rollups and the causal-graph display do. Leave the BUILDER cell blank if you don't have the information; DICTIONARY_OUTPUT automatically writes a harmless placeholder (unclassified for funnel_stage, not specified for the rest, pooling_group_id genuinely blank) instead of a truly empty cell, because the live upload currently rejects an empty value in those columns even though nothing meaningful reads it.</t>
        </is>
      </c>
    </row>
    <row r="23">
      <c r="A23" s="4" t="inlineStr">
        <is>
          <t>Not asked at all in this builder: model_input_unit, model_input_kind, spend_column, response_unit_column, response_unit. The necessity review confirmed these five v2 dictionary columns are currently write-only in the standard upload path -- filling them in does nothing today, and the real place to set units and cost mappings is inside the app, in Channel Media Units and Curve Generation, after your data is uploaded. Their column headers still appear (blank) in DICTIONARY_OUTPUT: once other v2 columns like currency are present, the current schema requires the full v2 column set to exist, so removing these headers entirely would make the whole row rejected. This builder never asks you to fill them in.</t>
        </is>
      </c>
    </row>
    <row r="24">
      <c r="A24" s="4" t="inlineStr">
        <is>
          <t>Also not asked at all: search_platform and search_intent_group_id. They are not activity_dictionary columns today -- activity_definitions_from_dictionary still doesn't map them from a standard workbook -- so this builder does not pretend they are ordinary fields. The governed Search-taxonomy mapping (Brand/Non-Brand, Google/Bing at the ActivityDefinition level) is configured separately, after upload, until that mapping gap is closed. Use platform and campaign_type above to keep your activity_id readable in the meantime.</t>
        </is>
      </c>
    </row>
    <row r="26">
      <c r="A26" s="3" t="inlineStr">
        <is>
          <t>How dropdowns work</t>
        </is>
      </c>
    </row>
    <row r="27">
      <c r="A27" s="4" t="inlineStr">
        <is>
          <t>activity_ownership, intended_model_role, economic_treatment, planning_eligibility, and funnel_stage are dropdowns built from the app's own governed lists. campaign_type and marketing_objective offer suggestions but also accept free text, matching how the app actually treats them. See the ALLOWED_VALUES sheet for the full, current set with plain-English explanations.</t>
        </is>
      </c>
    </row>
    <row r="29">
      <c r="A29" s="3" t="inlineStr">
        <is>
          <t>How validation works</t>
        </is>
      </c>
    </row>
    <row r="30">
      <c r="A30" s="4" t="inlineStr">
        <is>
          <t>The Row status column recalculates automatically as you type. It tells you in plain English whether a row is Ready, missing a required field, or a duplicate activity_id -- fix the thing it names, then check again.</t>
        </is>
      </c>
    </row>
    <row r="32">
      <c r="A32" s="3" t="inlineStr">
        <is>
          <t>Where the final dictionary output goes</t>
        </is>
      </c>
    </row>
    <row r="33">
      <c r="A33" s="4" t="inlineStr">
        <is>
          <t>Select every data row of the DICTIONARY_OUTPUT sheet, copy, and Paste Special &gt; Values into the activity_dictionary sheet of the standard Activity and Media upload workbook.</t>
        </is>
      </c>
    </row>
    <row r="35">
      <c r="A35" s="3" t="inlineStr">
        <is>
          <t>Where the actual weekly activity numbers go</t>
        </is>
      </c>
    </row>
    <row r="36">
      <c r="A36" s="4" t="inlineStr">
        <is>
          <t>This builder never asks for your weekly spend, clicks, or impressions. Those go in the activity_data sheet of the same upload workbook, one row per period_start x market x activity_id.</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AI31"/>
  <sheetViews>
    <sheetView showGridLines="0" workbookViewId="0">
      <pane ySplit="7" topLeftCell="A8" activePane="bottomLeft" state="frozen"/>
      <selection pane="bottomLeft" activeCell="A1" sqref="A1"/>
    </sheetView>
  </sheetViews>
  <sheetFormatPr baseColWidth="8" defaultRowHeight="15"/>
  <cols>
    <col width="16"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48"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s>
  <sheetData>
    <row r="1">
      <c r="A1" s="4" t="n"/>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row>
    <row r="2">
      <c r="A2" s="4" t="inlineStr"/>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row>
    <row r="3">
      <c r="A3" s="4" t="inlineStr"/>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4" t="n"/>
    </row>
    <row r="4">
      <c r="A4" s="4" t="inlineStr"/>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row>
    <row r="5">
      <c r="A5" s="4" t="inlineStr"/>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row>
    <row r="6">
      <c r="A6" s="4" t="inlineStr"/>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c r="AB6" s="4" t="n"/>
      <c r="AC6" s="4" t="n"/>
      <c r="AD6" s="4" t="n"/>
      <c r="AE6" s="4" t="n"/>
      <c r="AF6" s="4" t="n"/>
      <c r="AG6" s="4" t="n"/>
      <c r="AH6" s="4" t="n"/>
      <c r="AI6" s="4" t="n"/>
    </row>
    <row r="7">
      <c r="A7" s="5" t="inlineStr">
        <is>
          <t>channel</t>
        </is>
      </c>
      <c r="B7" s="5" t="inlineStr">
        <is>
          <t>market</t>
        </is>
      </c>
      <c r="C7" s="5" t="inlineStr">
        <is>
          <t>activity_ownership</t>
        </is>
      </c>
      <c r="D7" s="5" t="inlineStr">
        <is>
          <t>intended_model_role</t>
        </is>
      </c>
      <c r="E7" s="5" t="inlineStr">
        <is>
          <t>model_input_column</t>
        </is>
      </c>
      <c r="F7" s="5" t="inlineStr">
        <is>
          <t>model_input_measure</t>
        </is>
      </c>
      <c r="G7" s="5" t="inlineStr">
        <is>
          <t>economic_treatment</t>
        </is>
      </c>
      <c r="H7" s="5" t="inlineStr">
        <is>
          <t>planning_eligibility</t>
        </is>
      </c>
      <c r="I7" s="5" t="inlineStr">
        <is>
          <t>source</t>
        </is>
      </c>
      <c r="J7" s="5" t="inlineStr">
        <is>
          <t>activity_id (existing)</t>
        </is>
      </c>
      <c r="K7" s="5" t="inlineStr">
        <is>
          <t>Manual override</t>
        </is>
      </c>
      <c r="L7" s="5" t="inlineStr">
        <is>
          <t>Generated ID</t>
        </is>
      </c>
      <c r="M7" s="5" t="inlineStr">
        <is>
          <t>Final ID</t>
        </is>
      </c>
      <c r="N7" s="5" t="inlineStr">
        <is>
          <t>Row status</t>
        </is>
      </c>
      <c r="O7" s="6" t="inlineStr">
        <is>
          <t>platform</t>
        </is>
      </c>
      <c r="P7" s="6" t="inlineStr">
        <is>
          <t>campaign_type</t>
        </is>
      </c>
      <c r="Q7" s="7" t="inlineStr">
        <is>
          <t>pooling_group_id</t>
        </is>
      </c>
      <c r="R7" s="7" t="inlineStr">
        <is>
          <t>funnel_stage</t>
        </is>
      </c>
      <c r="S7" s="7" t="inlineStr">
        <is>
          <t>marketing_objective</t>
        </is>
      </c>
      <c r="T7" s="7" t="inlineStr">
        <is>
          <t>product_advertised</t>
        </is>
      </c>
      <c r="U7" s="7" t="inlineStr">
        <is>
          <t>message_type</t>
        </is>
      </c>
      <c r="V7" s="7" t="inlineStr">
        <is>
          <t>currency</t>
        </is>
      </c>
      <c r="W7" s="7" t="inlineStr">
        <is>
          <t>effective_from</t>
        </is>
      </c>
      <c r="X7" s="7" t="inlineStr">
        <is>
          <t>effective_to</t>
        </is>
      </c>
      <c r="Y7" s="5" t="n"/>
      <c r="Z7" s="5" t="n"/>
      <c r="AA7" s="5" t="inlineStr">
        <is>
          <t>_A_clean</t>
        </is>
      </c>
      <c r="AB7" s="5" t="inlineStr">
        <is>
          <t>_A_collapsed</t>
        </is>
      </c>
      <c r="AC7" s="5" t="inlineStr">
        <is>
          <t>_A_token</t>
        </is>
      </c>
      <c r="AD7" s="5" t="inlineStr">
        <is>
          <t>_O_clean</t>
        </is>
      </c>
      <c r="AE7" s="5" t="inlineStr">
        <is>
          <t>_O_collapsed</t>
        </is>
      </c>
      <c r="AF7" s="5" t="inlineStr">
        <is>
          <t>_O_token</t>
        </is>
      </c>
      <c r="AG7" s="5" t="inlineStr">
        <is>
          <t>_P_clean</t>
        </is>
      </c>
      <c r="AH7" s="5" t="inlineStr">
        <is>
          <t>_P_collapsed</t>
        </is>
      </c>
      <c r="AI7" s="5" t="inlineStr">
        <is>
          <t>_P_token</t>
        </is>
      </c>
    </row>
    <row r="8">
      <c r="A8" s="4" t="inlineStr">
        <is>
          <t>Paid Search</t>
        </is>
      </c>
      <c r="B8" s="4" t="inlineStr">
        <is>
          <t>UK</t>
        </is>
      </c>
      <c r="C8" s="4" t="inlineStr">
        <is>
          <t>paid</t>
        </is>
      </c>
      <c r="D8" s="4" t="inlineStr">
        <is>
          <t>intervention</t>
        </is>
      </c>
      <c r="E8" s="4" t="inlineStr"/>
      <c r="F8" s="4" t="inlineStr">
        <is>
          <t>spend</t>
        </is>
      </c>
      <c r="G8" s="4" t="inlineStr">
        <is>
          <t>paid_media_cost</t>
        </is>
      </c>
      <c r="H8" s="4" t="inlineStr">
        <is>
          <t>optimisable</t>
        </is>
      </c>
      <c r="I8" s="4" t="inlineStr">
        <is>
          <t>Google Ads export</t>
        </is>
      </c>
      <c r="J8" s="4" t="inlineStr"/>
      <c r="K8" s="4" t="inlineStr"/>
      <c r="L8" s="4">
        <f>IF(AC8&lt;&gt;"",AC8,"")&amp;IF(AF8&lt;&gt;"",IF(AC8&lt;&gt;"","_"&amp;AF8,AF8),"")&amp;IF(AI8&lt;&gt;"",IF(AC8&lt;&gt;"","_"&amp;AI8,AI8),"")</f>
        <v/>
      </c>
      <c r="M8" s="4">
        <f>IF(TRIM(K8)&lt;&gt;"",TRIM(K8),L8)</f>
        <v/>
      </c>
      <c r="N8" s="4">
        <f>IF(OR(A8="",B8="",C8="",D8="",F8="",G8="",H8="",I8=""),"Missing required field — fill in channel, market, activity_ownership, intended_model_role, model_input_measure, economic_treatment, planning_eligibility, and source.",IF(L8="","Missing required field — channel must be filled in to build an ID.",IF(COUNTIF($M$8:$M$31,M8)&gt;1,"Duplicate activity ID — two rows currently build the same activity_id; add the next meaningful field, not a random number.",IF(AND(J8&lt;&gt;"",J8&lt;&gt;M8),"Existing activity_id differs from the built ID — review before using.","Ready"))))</f>
        <v/>
      </c>
      <c r="O8" s="4" t="inlineStr">
        <is>
          <t>Google</t>
        </is>
      </c>
      <c r="P8" s="4" t="inlineStr">
        <is>
          <t>Brand</t>
        </is>
      </c>
      <c r="Q8" s="4" t="inlineStr"/>
      <c r="R8" s="4" t="inlineStr"/>
      <c r="S8" s="4" t="inlineStr"/>
      <c r="T8" s="4" t="inlineStr"/>
      <c r="U8" s="4" t="inlineStr"/>
      <c r="V8" s="4" t="inlineStr"/>
      <c r="W8" s="4" t="inlineStr"/>
      <c r="X8" s="4" t="inlineStr"/>
      <c r="Y8" s="4" t="n"/>
      <c r="Z8" s="4" t="n"/>
      <c r="AA8" s="4">
        <f>IF(OR(LOWER(TRIM(A8))="",LOWER(TRIM(A8))="nan",LOWER(TRIM(A8))="none",LOWER(TRIM(A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8))," ","_"),"!","_"),"#","_"),"$","_"),"%","_"),"&amp;","_"),"'","_"),"(","_"),")","_"),"*","_"),"+","_"),",","_"),"-","_"),".","_"),"/","_"),":","_"),";","_"),"&lt;","_"),"=","_"),"&gt;","_"),"?","_"),"@","_"),"[","_"),"\","_"),"]","_"),"^","_"),"`","_"),"{","_"),"|","_"),"}","_"),"~","_"),"–","_"),"—","_"),"’","_"),"“","_"),"”","_"),CHAR(9),"_"),CHAR(160),"_"))</f>
        <v/>
      </c>
      <c r="AB8" s="4">
        <f>IF(AA8="","",SUBSTITUTE(SUBSTITUTE(SUBSTITUTE(SUBSTITUTE(SUBSTITUTE(SUBSTITUTE(SUBSTITUTE(SUBSTITUTE(AA8,"__","_"),"__","_"),"__","_"),"__","_"),"__","_"),"__","_"),"__","_"),"__","_"))</f>
        <v/>
      </c>
      <c r="AC8" s="4">
        <f>IF(OR(AB8="",AB8="_"),"",IF(LEFT(AB8,1)="_",IF(RIGHT(AB8,1)="_",MID(AB8,2,LEN(AB8)-2),RIGHT(AB8,LEN(AB8)-1)),IF(RIGHT(AB8,1)="_",LEFT(AB8,LEN(AB8)-1),AB8)))</f>
        <v/>
      </c>
      <c r="AD8" s="4">
        <f>IF(OR(LOWER(TRIM(O8))="",LOWER(TRIM(O8))="nan",LOWER(TRIM(O8))="none",LOWER(TRIM(O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8))," ","_"),"!","_"),"#","_"),"$","_"),"%","_"),"&amp;","_"),"'","_"),"(","_"),")","_"),"*","_"),"+","_"),",","_"),"-","_"),".","_"),"/","_"),":","_"),";","_"),"&lt;","_"),"=","_"),"&gt;","_"),"?","_"),"@","_"),"[","_"),"\","_"),"]","_"),"^","_"),"`","_"),"{","_"),"|","_"),"}","_"),"~","_"),"–","_"),"—","_"),"’","_"),"“","_"),"”","_"),CHAR(9),"_"),CHAR(160),"_"))</f>
        <v/>
      </c>
      <c r="AE8" s="4">
        <f>IF(AD8="","",SUBSTITUTE(SUBSTITUTE(SUBSTITUTE(SUBSTITUTE(SUBSTITUTE(SUBSTITUTE(SUBSTITUTE(SUBSTITUTE(AD8,"__","_"),"__","_"),"__","_"),"__","_"),"__","_"),"__","_"),"__","_"),"__","_"))</f>
        <v/>
      </c>
      <c r="AF8" s="4">
        <f>IF(OR(AE8="",AE8="_"),"",IF(LEFT(AE8,1)="_",IF(RIGHT(AE8,1)="_",MID(AE8,2,LEN(AE8)-2),RIGHT(AE8,LEN(AE8)-1)),IF(RIGHT(AE8,1)="_",LEFT(AE8,LEN(AE8)-1),AE8)))</f>
        <v/>
      </c>
      <c r="AG8" s="4">
        <f>IF(OR(LOWER(TRIM(P8))="",LOWER(TRIM(P8))="nan",LOWER(TRIM(P8))="none",LOWER(TRIM(P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8))," ","_"),"!","_"),"#","_"),"$","_"),"%","_"),"&amp;","_"),"'","_"),"(","_"),")","_"),"*","_"),"+","_"),",","_"),"-","_"),".","_"),"/","_"),":","_"),";","_"),"&lt;","_"),"=","_"),"&gt;","_"),"?","_"),"@","_"),"[","_"),"\","_"),"]","_"),"^","_"),"`","_"),"{","_"),"|","_"),"}","_"),"~","_"),"–","_"),"—","_"),"’","_"),"“","_"),"”","_"),CHAR(9),"_"),CHAR(160),"_"))</f>
        <v/>
      </c>
      <c r="AH8" s="4">
        <f>IF(AG8="","",SUBSTITUTE(SUBSTITUTE(SUBSTITUTE(SUBSTITUTE(SUBSTITUTE(SUBSTITUTE(SUBSTITUTE(SUBSTITUTE(AG8,"__","_"),"__","_"),"__","_"),"__","_"),"__","_"),"__","_"),"__","_"),"__","_"))</f>
        <v/>
      </c>
      <c r="AI8" s="4">
        <f>IF(OR(AH8="",AH8="_"),"",IF(LEFT(AH8,1)="_",IF(RIGHT(AH8,1)="_",MID(AH8,2,LEN(AH8)-2),RIGHT(AH8,LEN(AH8)-1)),IF(RIGHT(AH8,1)="_",LEFT(AH8,LEN(AH8)-1),AH8)))</f>
        <v/>
      </c>
    </row>
    <row r="9">
      <c r="A9" s="4" t="inlineStr">
        <is>
          <t>Paid Search</t>
        </is>
      </c>
      <c r="B9" s="4" t="inlineStr">
        <is>
          <t>UK</t>
        </is>
      </c>
      <c r="C9" s="4" t="inlineStr">
        <is>
          <t>paid</t>
        </is>
      </c>
      <c r="D9" s="4" t="inlineStr">
        <is>
          <t>intervention</t>
        </is>
      </c>
      <c r="E9" s="4" t="inlineStr"/>
      <c r="F9" s="4" t="inlineStr">
        <is>
          <t>spend</t>
        </is>
      </c>
      <c r="G9" s="4" t="inlineStr">
        <is>
          <t>paid_media_cost</t>
        </is>
      </c>
      <c r="H9" s="4" t="inlineStr">
        <is>
          <t>optimisable</t>
        </is>
      </c>
      <c r="I9" s="4" t="inlineStr">
        <is>
          <t>Bing Ads export</t>
        </is>
      </c>
      <c r="J9" s="4" t="inlineStr"/>
      <c r="K9" s="4" t="inlineStr"/>
      <c r="L9" s="4">
        <f>IF(AC9&lt;&gt;"",AC9,"")&amp;IF(AF9&lt;&gt;"",IF(AC9&lt;&gt;"","_"&amp;AF9,AF9),"")&amp;IF(AI9&lt;&gt;"",IF(AC9&lt;&gt;"","_"&amp;AI9,AI9),"")</f>
        <v/>
      </c>
      <c r="M9" s="4">
        <f>IF(TRIM(K9)&lt;&gt;"",TRIM(K9),L9)</f>
        <v/>
      </c>
      <c r="N9" s="4">
        <f>IF(OR(A9="",B9="",C9="",D9="",F9="",G9="",H9="",I9=""),"Missing required field — fill in channel, market, activity_ownership, intended_model_role, model_input_measure, economic_treatment, planning_eligibility, and source.",IF(L9="","Missing required field — channel must be filled in to build an ID.",IF(COUNTIF($M$8:$M$31,M9)&gt;1,"Duplicate activity ID — two rows currently build the same activity_id; add the next meaningful field, not a random number.",IF(AND(J9&lt;&gt;"",J9&lt;&gt;M9),"Existing activity_id differs from the built ID — review before using.","Ready"))))</f>
        <v/>
      </c>
      <c r="O9" s="4" t="inlineStr">
        <is>
          <t>Bing</t>
        </is>
      </c>
      <c r="P9" s="4" t="inlineStr">
        <is>
          <t>Brand</t>
        </is>
      </c>
      <c r="Q9" s="4" t="inlineStr"/>
      <c r="R9" s="4" t="inlineStr"/>
      <c r="S9" s="4" t="inlineStr"/>
      <c r="T9" s="4" t="inlineStr"/>
      <c r="U9" s="4" t="inlineStr"/>
      <c r="V9" s="4" t="inlineStr"/>
      <c r="W9" s="4" t="inlineStr"/>
      <c r="X9" s="4" t="inlineStr"/>
      <c r="Y9" s="4" t="n"/>
      <c r="Z9" s="4" t="n"/>
      <c r="AA9" s="4">
        <f>IF(OR(LOWER(TRIM(A9))="",LOWER(TRIM(A9))="nan",LOWER(TRIM(A9))="none",LOWER(TRIM(A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9))," ","_"),"!","_"),"#","_"),"$","_"),"%","_"),"&amp;","_"),"'","_"),"(","_"),")","_"),"*","_"),"+","_"),",","_"),"-","_"),".","_"),"/","_"),":","_"),";","_"),"&lt;","_"),"=","_"),"&gt;","_"),"?","_"),"@","_"),"[","_"),"\","_"),"]","_"),"^","_"),"`","_"),"{","_"),"|","_"),"}","_"),"~","_"),"–","_"),"—","_"),"’","_"),"“","_"),"”","_"),CHAR(9),"_"),CHAR(160),"_"))</f>
        <v/>
      </c>
      <c r="AB9" s="4">
        <f>IF(AA9="","",SUBSTITUTE(SUBSTITUTE(SUBSTITUTE(SUBSTITUTE(SUBSTITUTE(SUBSTITUTE(SUBSTITUTE(SUBSTITUTE(AA9,"__","_"),"__","_"),"__","_"),"__","_"),"__","_"),"__","_"),"__","_"),"__","_"))</f>
        <v/>
      </c>
      <c r="AC9" s="4">
        <f>IF(OR(AB9="",AB9="_"),"",IF(LEFT(AB9,1)="_",IF(RIGHT(AB9,1)="_",MID(AB9,2,LEN(AB9)-2),RIGHT(AB9,LEN(AB9)-1)),IF(RIGHT(AB9,1)="_",LEFT(AB9,LEN(AB9)-1),AB9)))</f>
        <v/>
      </c>
      <c r="AD9" s="4">
        <f>IF(OR(LOWER(TRIM(O9))="",LOWER(TRIM(O9))="nan",LOWER(TRIM(O9))="none",LOWER(TRIM(O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9))," ","_"),"!","_"),"#","_"),"$","_"),"%","_"),"&amp;","_"),"'","_"),"(","_"),")","_"),"*","_"),"+","_"),",","_"),"-","_"),".","_"),"/","_"),":","_"),";","_"),"&lt;","_"),"=","_"),"&gt;","_"),"?","_"),"@","_"),"[","_"),"\","_"),"]","_"),"^","_"),"`","_"),"{","_"),"|","_"),"}","_"),"~","_"),"–","_"),"—","_"),"’","_"),"“","_"),"”","_"),CHAR(9),"_"),CHAR(160),"_"))</f>
        <v/>
      </c>
      <c r="AE9" s="4">
        <f>IF(AD9="","",SUBSTITUTE(SUBSTITUTE(SUBSTITUTE(SUBSTITUTE(SUBSTITUTE(SUBSTITUTE(SUBSTITUTE(SUBSTITUTE(AD9,"__","_"),"__","_"),"__","_"),"__","_"),"__","_"),"__","_"),"__","_"),"__","_"))</f>
        <v/>
      </c>
      <c r="AF9" s="4">
        <f>IF(OR(AE9="",AE9="_"),"",IF(LEFT(AE9,1)="_",IF(RIGHT(AE9,1)="_",MID(AE9,2,LEN(AE9)-2),RIGHT(AE9,LEN(AE9)-1)),IF(RIGHT(AE9,1)="_",LEFT(AE9,LEN(AE9)-1),AE9)))</f>
        <v/>
      </c>
      <c r="AG9" s="4">
        <f>IF(OR(LOWER(TRIM(P9))="",LOWER(TRIM(P9))="nan",LOWER(TRIM(P9))="none",LOWER(TRIM(P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9))," ","_"),"!","_"),"#","_"),"$","_"),"%","_"),"&amp;","_"),"'","_"),"(","_"),")","_"),"*","_"),"+","_"),",","_"),"-","_"),".","_"),"/","_"),":","_"),";","_"),"&lt;","_"),"=","_"),"&gt;","_"),"?","_"),"@","_"),"[","_"),"\","_"),"]","_"),"^","_"),"`","_"),"{","_"),"|","_"),"}","_"),"~","_"),"–","_"),"—","_"),"’","_"),"“","_"),"”","_"),CHAR(9),"_"),CHAR(160),"_"))</f>
        <v/>
      </c>
      <c r="AH9" s="4">
        <f>IF(AG9="","",SUBSTITUTE(SUBSTITUTE(SUBSTITUTE(SUBSTITUTE(SUBSTITUTE(SUBSTITUTE(SUBSTITUTE(SUBSTITUTE(AG9,"__","_"),"__","_"),"__","_"),"__","_"),"__","_"),"__","_"),"__","_"),"__","_"))</f>
        <v/>
      </c>
      <c r="AI9" s="4">
        <f>IF(OR(AH9="",AH9="_"),"",IF(LEFT(AH9,1)="_",IF(RIGHT(AH9,1)="_",MID(AH9,2,LEN(AH9)-2),RIGHT(AH9,LEN(AH9)-1)),IF(RIGHT(AH9,1)="_",LEFT(AH9,LEN(AH9)-1),AH9)))</f>
        <v/>
      </c>
    </row>
    <row r="10">
      <c r="A10" s="4" t="inlineStr">
        <is>
          <t>TV</t>
        </is>
      </c>
      <c r="B10" s="4" t="inlineStr">
        <is>
          <t>UK</t>
        </is>
      </c>
      <c r="C10" s="4" t="inlineStr">
        <is>
          <t>paid</t>
        </is>
      </c>
      <c r="D10" s="4" t="inlineStr">
        <is>
          <t>intervention</t>
        </is>
      </c>
      <c r="E10" s="4" t="inlineStr"/>
      <c r="F10" s="4" t="inlineStr">
        <is>
          <t>spend</t>
        </is>
      </c>
      <c r="G10" s="4" t="inlineStr">
        <is>
          <t>paid_media_cost</t>
        </is>
      </c>
      <c r="H10" s="4" t="inlineStr">
        <is>
          <t>optimisable</t>
        </is>
      </c>
      <c r="I10" s="4" t="inlineStr">
        <is>
          <t>Broadcaster invoice</t>
        </is>
      </c>
      <c r="J10" s="4" t="inlineStr"/>
      <c r="K10" s="4" t="inlineStr"/>
      <c r="L10" s="4">
        <f>IF(AC10&lt;&gt;"",AC10,"")&amp;IF(AF10&lt;&gt;"",IF(AC10&lt;&gt;"","_"&amp;AF10,AF10),"")&amp;IF(AI10&lt;&gt;"",IF(AC10&lt;&gt;"","_"&amp;AI10,AI10),"")</f>
        <v/>
      </c>
      <c r="M10" s="4">
        <f>IF(TRIM(K10)&lt;&gt;"",TRIM(K10),L10)</f>
        <v/>
      </c>
      <c r="N10" s="4">
        <f>IF(OR(A10="",B10="",C10="",D10="",F10="",G10="",H10="",I10=""),"Missing required field — fill in channel, market, activity_ownership, intended_model_role, model_input_measure, economic_treatment, planning_eligibility, and source.",IF(L10="","Missing required field — channel must be filled in to build an ID.",IF(COUNTIF($M$8:$M$31,M10)&gt;1,"Duplicate activity ID — two rows currently build the same activity_id; add the next meaningful field, not a random number.",IF(AND(J10&lt;&gt;"",J10&lt;&gt;M10),"Existing activity_id differs from the built ID — review before using.","Ready"))))</f>
        <v/>
      </c>
      <c r="O10" s="4" t="inlineStr"/>
      <c r="P10" s="4" t="inlineStr"/>
      <c r="Q10" s="4" t="inlineStr"/>
      <c r="R10" s="4" t="inlineStr"/>
      <c r="S10" s="4" t="inlineStr"/>
      <c r="T10" s="4" t="inlineStr"/>
      <c r="U10" s="4" t="inlineStr"/>
      <c r="V10" s="4" t="inlineStr"/>
      <c r="W10" s="4" t="inlineStr"/>
      <c r="X10" s="4" t="inlineStr"/>
      <c r="Y10" s="4" t="n"/>
      <c r="Z10" s="4" t="n"/>
      <c r="AA10" s="4">
        <f>IF(OR(LOWER(TRIM(A10))="",LOWER(TRIM(A10))="nan",LOWER(TRIM(A10))="none",LOWER(TRIM(A10)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10))," ","_"),"!","_"),"#","_"),"$","_"),"%","_"),"&amp;","_"),"'","_"),"(","_"),")","_"),"*","_"),"+","_"),",","_"),"-","_"),".","_"),"/","_"),":","_"),";","_"),"&lt;","_"),"=","_"),"&gt;","_"),"?","_"),"@","_"),"[","_"),"\","_"),"]","_"),"^","_"),"`","_"),"{","_"),"|","_"),"}","_"),"~","_"),"–","_"),"—","_"),"’","_"),"“","_"),"”","_"),CHAR(9),"_"),CHAR(160),"_"))</f>
        <v/>
      </c>
      <c r="AB10" s="4">
        <f>IF(AA10="","",SUBSTITUTE(SUBSTITUTE(SUBSTITUTE(SUBSTITUTE(SUBSTITUTE(SUBSTITUTE(SUBSTITUTE(SUBSTITUTE(AA10,"__","_"),"__","_"),"__","_"),"__","_"),"__","_"),"__","_"),"__","_"),"__","_"))</f>
        <v/>
      </c>
      <c r="AC10" s="4">
        <f>IF(OR(AB10="",AB10="_"),"",IF(LEFT(AB10,1)="_",IF(RIGHT(AB10,1)="_",MID(AB10,2,LEN(AB10)-2),RIGHT(AB10,LEN(AB10)-1)),IF(RIGHT(AB10,1)="_",LEFT(AB10,LEN(AB10)-1),AB10)))</f>
        <v/>
      </c>
      <c r="AD10" s="4">
        <f>IF(OR(LOWER(TRIM(O10))="",LOWER(TRIM(O10))="nan",LOWER(TRIM(O10))="none",LOWER(TRIM(O10)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10))," ","_"),"!","_"),"#","_"),"$","_"),"%","_"),"&amp;","_"),"'","_"),"(","_"),")","_"),"*","_"),"+","_"),",","_"),"-","_"),".","_"),"/","_"),":","_"),";","_"),"&lt;","_"),"=","_"),"&gt;","_"),"?","_"),"@","_"),"[","_"),"\","_"),"]","_"),"^","_"),"`","_"),"{","_"),"|","_"),"}","_"),"~","_"),"–","_"),"—","_"),"’","_"),"“","_"),"”","_"),CHAR(9),"_"),CHAR(160),"_"))</f>
        <v/>
      </c>
      <c r="AE10" s="4">
        <f>IF(AD10="","",SUBSTITUTE(SUBSTITUTE(SUBSTITUTE(SUBSTITUTE(SUBSTITUTE(SUBSTITUTE(SUBSTITUTE(SUBSTITUTE(AD10,"__","_"),"__","_"),"__","_"),"__","_"),"__","_"),"__","_"),"__","_"),"__","_"))</f>
        <v/>
      </c>
      <c r="AF10" s="4">
        <f>IF(OR(AE10="",AE10="_"),"",IF(LEFT(AE10,1)="_",IF(RIGHT(AE10,1)="_",MID(AE10,2,LEN(AE10)-2),RIGHT(AE10,LEN(AE10)-1)),IF(RIGHT(AE10,1)="_",LEFT(AE10,LEN(AE10)-1),AE10)))</f>
        <v/>
      </c>
      <c r="AG10" s="4">
        <f>IF(OR(LOWER(TRIM(P10))="",LOWER(TRIM(P10))="nan",LOWER(TRIM(P10))="none",LOWER(TRIM(P10)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10))," ","_"),"!","_"),"#","_"),"$","_"),"%","_"),"&amp;","_"),"'","_"),"(","_"),")","_"),"*","_"),"+","_"),",","_"),"-","_"),".","_"),"/","_"),":","_"),";","_"),"&lt;","_"),"=","_"),"&gt;","_"),"?","_"),"@","_"),"[","_"),"\","_"),"]","_"),"^","_"),"`","_"),"{","_"),"|","_"),"}","_"),"~","_"),"–","_"),"—","_"),"’","_"),"“","_"),"”","_"),CHAR(9),"_"),CHAR(160),"_"))</f>
        <v/>
      </c>
      <c r="AH10" s="4">
        <f>IF(AG10="","",SUBSTITUTE(SUBSTITUTE(SUBSTITUTE(SUBSTITUTE(SUBSTITUTE(SUBSTITUTE(SUBSTITUTE(SUBSTITUTE(AG10,"__","_"),"__","_"),"__","_"),"__","_"),"__","_"),"__","_"),"__","_"),"__","_"))</f>
        <v/>
      </c>
      <c r="AI10" s="4">
        <f>IF(OR(AH10="",AH10="_"),"",IF(LEFT(AH10,1)="_",IF(RIGHT(AH10,1)="_",MID(AH10,2,LEN(AH10)-2),RIGHT(AH10,LEN(AH10)-1)),IF(RIGHT(AH10,1)="_",LEFT(AH10,LEN(AH10)-1),AH10)))</f>
        <v/>
      </c>
    </row>
    <row r="11">
      <c r="A11" s="4" t="inlineStr">
        <is>
          <t>SEO</t>
        </is>
      </c>
      <c r="B11" s="4" t="inlineStr">
        <is>
          <t>UK</t>
        </is>
      </c>
      <c r="C11" s="4" t="inlineStr">
        <is>
          <t>owned</t>
        </is>
      </c>
      <c r="D11" s="4" t="inlineStr">
        <is>
          <t>demand_capture</t>
        </is>
      </c>
      <c r="E11" s="4" t="inlineStr"/>
      <c r="F11" s="4" t="inlineStr">
        <is>
          <t>clicks</t>
        </is>
      </c>
      <c r="G11" s="4" t="inlineStr">
        <is>
          <t>response_only</t>
        </is>
      </c>
      <c r="H11" s="4" t="inlineStr">
        <is>
          <t>scenario_only</t>
        </is>
      </c>
      <c r="I11" s="4" t="inlineStr">
        <is>
          <t>Google Search Console</t>
        </is>
      </c>
      <c r="J11" s="4" t="inlineStr"/>
      <c r="K11" s="4" t="inlineStr"/>
      <c r="L11" s="4">
        <f>IF(AC11&lt;&gt;"",AC11,"")&amp;IF(AF11&lt;&gt;"",IF(AC11&lt;&gt;"","_"&amp;AF11,AF11),"")&amp;IF(AI11&lt;&gt;"",IF(AC11&lt;&gt;"","_"&amp;AI11,AI11),"")</f>
        <v/>
      </c>
      <c r="M11" s="4">
        <f>IF(TRIM(K11)&lt;&gt;"",TRIM(K11),L11)</f>
        <v/>
      </c>
      <c r="N11" s="4">
        <f>IF(OR(A11="",B11="",C11="",D11="",F11="",G11="",H11="",I11=""),"Missing required field — fill in channel, market, activity_ownership, intended_model_role, model_input_measure, economic_treatment, planning_eligibility, and source.",IF(L11="","Missing required field — channel must be filled in to build an ID.",IF(COUNTIF($M$8:$M$31,M11)&gt;1,"Duplicate activity ID — two rows currently build the same activity_id; add the next meaningful field, not a random number.",IF(AND(J11&lt;&gt;"",J11&lt;&gt;M11),"Existing activity_id differs from the built ID — review before using.","Ready"))))</f>
        <v/>
      </c>
      <c r="O11" s="4" t="inlineStr"/>
      <c r="P11" s="4" t="inlineStr"/>
      <c r="Q11" s="4" t="inlineStr"/>
      <c r="R11" s="4" t="inlineStr"/>
      <c r="S11" s="4" t="inlineStr"/>
      <c r="T11" s="4" t="inlineStr"/>
      <c r="U11" s="4" t="inlineStr"/>
      <c r="V11" s="4" t="inlineStr"/>
      <c r="W11" s="4" t="inlineStr"/>
      <c r="X11" s="4" t="inlineStr"/>
      <c r="Y11" s="4" t="n"/>
      <c r="Z11" s="4" t="n"/>
      <c r="AA11" s="4">
        <f>IF(OR(LOWER(TRIM(A11))="",LOWER(TRIM(A11))="nan",LOWER(TRIM(A11))="none",LOWER(TRIM(A11)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11))," ","_"),"!","_"),"#","_"),"$","_"),"%","_"),"&amp;","_"),"'","_"),"(","_"),")","_"),"*","_"),"+","_"),",","_"),"-","_"),".","_"),"/","_"),":","_"),";","_"),"&lt;","_"),"=","_"),"&gt;","_"),"?","_"),"@","_"),"[","_"),"\","_"),"]","_"),"^","_"),"`","_"),"{","_"),"|","_"),"}","_"),"~","_"),"–","_"),"—","_"),"’","_"),"“","_"),"”","_"),CHAR(9),"_"),CHAR(160),"_"))</f>
        <v/>
      </c>
      <c r="AB11" s="4">
        <f>IF(AA11="","",SUBSTITUTE(SUBSTITUTE(SUBSTITUTE(SUBSTITUTE(SUBSTITUTE(SUBSTITUTE(SUBSTITUTE(SUBSTITUTE(AA11,"__","_"),"__","_"),"__","_"),"__","_"),"__","_"),"__","_"),"__","_"),"__","_"))</f>
        <v/>
      </c>
      <c r="AC11" s="4">
        <f>IF(OR(AB11="",AB11="_"),"",IF(LEFT(AB11,1)="_",IF(RIGHT(AB11,1)="_",MID(AB11,2,LEN(AB11)-2),RIGHT(AB11,LEN(AB11)-1)),IF(RIGHT(AB11,1)="_",LEFT(AB11,LEN(AB11)-1),AB11)))</f>
        <v/>
      </c>
      <c r="AD11" s="4">
        <f>IF(OR(LOWER(TRIM(O11))="",LOWER(TRIM(O11))="nan",LOWER(TRIM(O11))="none",LOWER(TRIM(O11)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11))," ","_"),"!","_"),"#","_"),"$","_"),"%","_"),"&amp;","_"),"'","_"),"(","_"),")","_"),"*","_"),"+","_"),",","_"),"-","_"),".","_"),"/","_"),":","_"),";","_"),"&lt;","_"),"=","_"),"&gt;","_"),"?","_"),"@","_"),"[","_"),"\","_"),"]","_"),"^","_"),"`","_"),"{","_"),"|","_"),"}","_"),"~","_"),"–","_"),"—","_"),"’","_"),"“","_"),"”","_"),CHAR(9),"_"),CHAR(160),"_"))</f>
        <v/>
      </c>
      <c r="AE11" s="4">
        <f>IF(AD11="","",SUBSTITUTE(SUBSTITUTE(SUBSTITUTE(SUBSTITUTE(SUBSTITUTE(SUBSTITUTE(SUBSTITUTE(SUBSTITUTE(AD11,"__","_"),"__","_"),"__","_"),"__","_"),"__","_"),"__","_"),"__","_"),"__","_"))</f>
        <v/>
      </c>
      <c r="AF11" s="4">
        <f>IF(OR(AE11="",AE11="_"),"",IF(LEFT(AE11,1)="_",IF(RIGHT(AE11,1)="_",MID(AE11,2,LEN(AE11)-2),RIGHT(AE11,LEN(AE11)-1)),IF(RIGHT(AE11,1)="_",LEFT(AE11,LEN(AE11)-1),AE11)))</f>
        <v/>
      </c>
      <c r="AG11" s="4">
        <f>IF(OR(LOWER(TRIM(P11))="",LOWER(TRIM(P11))="nan",LOWER(TRIM(P11))="none",LOWER(TRIM(P11)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11))," ","_"),"!","_"),"#","_"),"$","_"),"%","_"),"&amp;","_"),"'","_"),"(","_"),")","_"),"*","_"),"+","_"),",","_"),"-","_"),".","_"),"/","_"),":","_"),";","_"),"&lt;","_"),"=","_"),"&gt;","_"),"?","_"),"@","_"),"[","_"),"\","_"),"]","_"),"^","_"),"`","_"),"{","_"),"|","_"),"}","_"),"~","_"),"–","_"),"—","_"),"’","_"),"“","_"),"”","_"),CHAR(9),"_"),CHAR(160),"_"))</f>
        <v/>
      </c>
      <c r="AH11" s="4">
        <f>IF(AG11="","",SUBSTITUTE(SUBSTITUTE(SUBSTITUTE(SUBSTITUTE(SUBSTITUTE(SUBSTITUTE(SUBSTITUTE(SUBSTITUTE(AG11,"__","_"),"__","_"),"__","_"),"__","_"),"__","_"),"__","_"),"__","_"),"__","_"))</f>
        <v/>
      </c>
      <c r="AI11" s="4">
        <f>IF(OR(AH11="",AH11="_"),"",IF(LEFT(AH11,1)="_",IF(RIGHT(AH11,1)="_",MID(AH11,2,LEN(AH11)-2),RIGHT(AH11,LEN(AH11)-1)),IF(RIGHT(AH11,1)="_",LEFT(AH11,LEN(AH11)-1),AH11)))</f>
        <v/>
      </c>
    </row>
    <row r="12">
      <c r="A12" s="4" t="inlineStr"/>
      <c r="B12" s="4" t="inlineStr"/>
      <c r="C12" s="4" t="inlineStr"/>
      <c r="D12" s="4" t="inlineStr"/>
      <c r="E12" s="4" t="inlineStr"/>
      <c r="F12" s="4" t="inlineStr"/>
      <c r="G12" s="4" t="inlineStr"/>
      <c r="H12" s="4" t="inlineStr"/>
      <c r="I12" s="4" t="inlineStr"/>
      <c r="J12" s="4" t="inlineStr"/>
      <c r="K12" s="4" t="inlineStr"/>
      <c r="L12" s="4">
        <f>IF(AC12&lt;&gt;"",AC12,"")&amp;IF(AF12&lt;&gt;"",IF(AC12&lt;&gt;"","_"&amp;AF12,AF12),"")&amp;IF(AI12&lt;&gt;"",IF(AC12&lt;&gt;"","_"&amp;AI12,AI12),"")</f>
        <v/>
      </c>
      <c r="M12" s="4">
        <f>IF(TRIM(K12)&lt;&gt;"",TRIM(K12),L12)</f>
        <v/>
      </c>
      <c r="N12" s="4">
        <f>IF(OR(A12="",B12="",C12="",D12="",F12="",G12="",H12="",I12=""),"Missing required field — fill in channel, market, activity_ownership, intended_model_role, model_input_measure, economic_treatment, planning_eligibility, and source.",IF(L12="","Missing required field — channel must be filled in to build an ID.",IF(COUNTIF($M$8:$M$31,M12)&gt;1,"Duplicate activity ID — two rows currently build the same activity_id; add the next meaningful field, not a random number.",IF(AND(J12&lt;&gt;"",J12&lt;&gt;M12),"Existing activity_id differs from the built ID — review before using.","Ready"))))</f>
        <v/>
      </c>
      <c r="O12" s="4" t="inlineStr"/>
      <c r="P12" s="4" t="inlineStr"/>
      <c r="Q12" s="4" t="inlineStr"/>
      <c r="R12" s="4" t="inlineStr"/>
      <c r="S12" s="4" t="inlineStr"/>
      <c r="T12" s="4" t="inlineStr"/>
      <c r="U12" s="4" t="inlineStr"/>
      <c r="V12" s="4" t="inlineStr"/>
      <c r="W12" s="4" t="inlineStr"/>
      <c r="X12" s="4" t="inlineStr"/>
      <c r="Y12" s="4" t="n"/>
      <c r="Z12" s="4" t="n"/>
      <c r="AA12" s="4">
        <f>IF(OR(LOWER(TRIM(A12))="",LOWER(TRIM(A12))="nan",LOWER(TRIM(A12))="none",LOWER(TRIM(A12))="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12))," ","_"),"!","_"),"#","_"),"$","_"),"%","_"),"&amp;","_"),"'","_"),"(","_"),")","_"),"*","_"),"+","_"),",","_"),"-","_"),".","_"),"/","_"),":","_"),";","_"),"&lt;","_"),"=","_"),"&gt;","_"),"?","_"),"@","_"),"[","_"),"\","_"),"]","_"),"^","_"),"`","_"),"{","_"),"|","_"),"}","_"),"~","_"),"–","_"),"—","_"),"’","_"),"“","_"),"”","_"),CHAR(9),"_"),CHAR(160),"_"))</f>
        <v/>
      </c>
      <c r="AB12" s="4">
        <f>IF(AA12="","",SUBSTITUTE(SUBSTITUTE(SUBSTITUTE(SUBSTITUTE(SUBSTITUTE(SUBSTITUTE(SUBSTITUTE(SUBSTITUTE(AA12,"__","_"),"__","_"),"__","_"),"__","_"),"__","_"),"__","_"),"__","_"),"__","_"))</f>
        <v/>
      </c>
      <c r="AC12" s="4">
        <f>IF(OR(AB12="",AB12="_"),"",IF(LEFT(AB12,1)="_",IF(RIGHT(AB12,1)="_",MID(AB12,2,LEN(AB12)-2),RIGHT(AB12,LEN(AB12)-1)),IF(RIGHT(AB12,1)="_",LEFT(AB12,LEN(AB12)-1),AB12)))</f>
        <v/>
      </c>
      <c r="AD12" s="4">
        <f>IF(OR(LOWER(TRIM(O12))="",LOWER(TRIM(O12))="nan",LOWER(TRIM(O12))="none",LOWER(TRIM(O12))="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12))," ","_"),"!","_"),"#","_"),"$","_"),"%","_"),"&amp;","_"),"'","_"),"(","_"),")","_"),"*","_"),"+","_"),",","_"),"-","_"),".","_"),"/","_"),":","_"),";","_"),"&lt;","_"),"=","_"),"&gt;","_"),"?","_"),"@","_"),"[","_"),"\","_"),"]","_"),"^","_"),"`","_"),"{","_"),"|","_"),"}","_"),"~","_"),"–","_"),"—","_"),"’","_"),"“","_"),"”","_"),CHAR(9),"_"),CHAR(160),"_"))</f>
        <v/>
      </c>
      <c r="AE12" s="4">
        <f>IF(AD12="","",SUBSTITUTE(SUBSTITUTE(SUBSTITUTE(SUBSTITUTE(SUBSTITUTE(SUBSTITUTE(SUBSTITUTE(SUBSTITUTE(AD12,"__","_"),"__","_"),"__","_"),"__","_"),"__","_"),"__","_"),"__","_"),"__","_"))</f>
        <v/>
      </c>
      <c r="AF12" s="4">
        <f>IF(OR(AE12="",AE12="_"),"",IF(LEFT(AE12,1)="_",IF(RIGHT(AE12,1)="_",MID(AE12,2,LEN(AE12)-2),RIGHT(AE12,LEN(AE12)-1)),IF(RIGHT(AE12,1)="_",LEFT(AE12,LEN(AE12)-1),AE12)))</f>
        <v/>
      </c>
      <c r="AG12" s="4">
        <f>IF(OR(LOWER(TRIM(P12))="",LOWER(TRIM(P12))="nan",LOWER(TRIM(P12))="none",LOWER(TRIM(P12))="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12))," ","_"),"!","_"),"#","_"),"$","_"),"%","_"),"&amp;","_"),"'","_"),"(","_"),")","_"),"*","_"),"+","_"),",","_"),"-","_"),".","_"),"/","_"),":","_"),";","_"),"&lt;","_"),"=","_"),"&gt;","_"),"?","_"),"@","_"),"[","_"),"\","_"),"]","_"),"^","_"),"`","_"),"{","_"),"|","_"),"}","_"),"~","_"),"–","_"),"—","_"),"’","_"),"“","_"),"”","_"),CHAR(9),"_"),CHAR(160),"_"))</f>
        <v/>
      </c>
      <c r="AH12" s="4">
        <f>IF(AG12="","",SUBSTITUTE(SUBSTITUTE(SUBSTITUTE(SUBSTITUTE(SUBSTITUTE(SUBSTITUTE(SUBSTITUTE(SUBSTITUTE(AG12,"__","_"),"__","_"),"__","_"),"__","_"),"__","_"),"__","_"),"__","_"),"__","_"))</f>
        <v/>
      </c>
      <c r="AI12" s="4">
        <f>IF(OR(AH12="",AH12="_"),"",IF(LEFT(AH12,1)="_",IF(RIGHT(AH12,1)="_",MID(AH12,2,LEN(AH12)-2),RIGHT(AH12,LEN(AH12)-1)),IF(RIGHT(AH12,1)="_",LEFT(AH12,LEN(AH12)-1),AH12)))</f>
        <v/>
      </c>
    </row>
    <row r="13">
      <c r="A13" s="4" t="inlineStr"/>
      <c r="B13" s="4" t="inlineStr"/>
      <c r="C13" s="4" t="inlineStr"/>
      <c r="D13" s="4" t="inlineStr"/>
      <c r="E13" s="4" t="inlineStr"/>
      <c r="F13" s="4" t="inlineStr"/>
      <c r="G13" s="4" t="inlineStr"/>
      <c r="H13" s="4" t="inlineStr"/>
      <c r="I13" s="4" t="inlineStr"/>
      <c r="J13" s="4" t="inlineStr"/>
      <c r="K13" s="4" t="inlineStr"/>
      <c r="L13" s="4">
        <f>IF(AC13&lt;&gt;"",AC13,"")&amp;IF(AF13&lt;&gt;"",IF(AC13&lt;&gt;"","_"&amp;AF13,AF13),"")&amp;IF(AI13&lt;&gt;"",IF(AC13&lt;&gt;"","_"&amp;AI13,AI13),"")</f>
        <v/>
      </c>
      <c r="M13" s="4">
        <f>IF(TRIM(K13)&lt;&gt;"",TRIM(K13),L13)</f>
        <v/>
      </c>
      <c r="N13" s="4">
        <f>IF(OR(A13="",B13="",C13="",D13="",F13="",G13="",H13="",I13=""),"Missing required field — fill in channel, market, activity_ownership, intended_model_role, model_input_measure, economic_treatment, planning_eligibility, and source.",IF(L13="","Missing required field — channel must be filled in to build an ID.",IF(COUNTIF($M$8:$M$31,M13)&gt;1,"Duplicate activity ID — two rows currently build the same activity_id; add the next meaningful field, not a random number.",IF(AND(J13&lt;&gt;"",J13&lt;&gt;M13),"Existing activity_id differs from the built ID — review before using.","Ready"))))</f>
        <v/>
      </c>
      <c r="O13" s="4" t="inlineStr"/>
      <c r="P13" s="4" t="inlineStr"/>
      <c r="Q13" s="4" t="inlineStr"/>
      <c r="R13" s="4" t="inlineStr"/>
      <c r="S13" s="4" t="inlineStr"/>
      <c r="T13" s="4" t="inlineStr"/>
      <c r="U13" s="4" t="inlineStr"/>
      <c r="V13" s="4" t="inlineStr"/>
      <c r="W13" s="4" t="inlineStr"/>
      <c r="X13" s="4" t="inlineStr"/>
      <c r="Y13" s="4" t="n"/>
      <c r="Z13" s="4" t="n"/>
      <c r="AA13" s="4">
        <f>IF(OR(LOWER(TRIM(A13))="",LOWER(TRIM(A13))="nan",LOWER(TRIM(A13))="none",LOWER(TRIM(A13))="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13))," ","_"),"!","_"),"#","_"),"$","_"),"%","_"),"&amp;","_"),"'","_"),"(","_"),")","_"),"*","_"),"+","_"),",","_"),"-","_"),".","_"),"/","_"),":","_"),";","_"),"&lt;","_"),"=","_"),"&gt;","_"),"?","_"),"@","_"),"[","_"),"\","_"),"]","_"),"^","_"),"`","_"),"{","_"),"|","_"),"}","_"),"~","_"),"–","_"),"—","_"),"’","_"),"“","_"),"”","_"),CHAR(9),"_"),CHAR(160),"_"))</f>
        <v/>
      </c>
      <c r="AB13" s="4">
        <f>IF(AA13="","",SUBSTITUTE(SUBSTITUTE(SUBSTITUTE(SUBSTITUTE(SUBSTITUTE(SUBSTITUTE(SUBSTITUTE(SUBSTITUTE(AA13,"__","_"),"__","_"),"__","_"),"__","_"),"__","_"),"__","_"),"__","_"),"__","_"))</f>
        <v/>
      </c>
      <c r="AC13" s="4">
        <f>IF(OR(AB13="",AB13="_"),"",IF(LEFT(AB13,1)="_",IF(RIGHT(AB13,1)="_",MID(AB13,2,LEN(AB13)-2),RIGHT(AB13,LEN(AB13)-1)),IF(RIGHT(AB13,1)="_",LEFT(AB13,LEN(AB13)-1),AB13)))</f>
        <v/>
      </c>
      <c r="AD13" s="4">
        <f>IF(OR(LOWER(TRIM(O13))="",LOWER(TRIM(O13))="nan",LOWER(TRIM(O13))="none",LOWER(TRIM(O13))="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13))," ","_"),"!","_"),"#","_"),"$","_"),"%","_"),"&amp;","_"),"'","_"),"(","_"),")","_"),"*","_"),"+","_"),",","_"),"-","_"),".","_"),"/","_"),":","_"),";","_"),"&lt;","_"),"=","_"),"&gt;","_"),"?","_"),"@","_"),"[","_"),"\","_"),"]","_"),"^","_"),"`","_"),"{","_"),"|","_"),"}","_"),"~","_"),"–","_"),"—","_"),"’","_"),"“","_"),"”","_"),CHAR(9),"_"),CHAR(160),"_"))</f>
        <v/>
      </c>
      <c r="AE13" s="4">
        <f>IF(AD13="","",SUBSTITUTE(SUBSTITUTE(SUBSTITUTE(SUBSTITUTE(SUBSTITUTE(SUBSTITUTE(SUBSTITUTE(SUBSTITUTE(AD13,"__","_"),"__","_"),"__","_"),"__","_"),"__","_"),"__","_"),"__","_"),"__","_"))</f>
        <v/>
      </c>
      <c r="AF13" s="4">
        <f>IF(OR(AE13="",AE13="_"),"",IF(LEFT(AE13,1)="_",IF(RIGHT(AE13,1)="_",MID(AE13,2,LEN(AE13)-2),RIGHT(AE13,LEN(AE13)-1)),IF(RIGHT(AE13,1)="_",LEFT(AE13,LEN(AE13)-1),AE13)))</f>
        <v/>
      </c>
      <c r="AG13" s="4">
        <f>IF(OR(LOWER(TRIM(P13))="",LOWER(TRIM(P13))="nan",LOWER(TRIM(P13))="none",LOWER(TRIM(P13))="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13))," ","_"),"!","_"),"#","_"),"$","_"),"%","_"),"&amp;","_"),"'","_"),"(","_"),")","_"),"*","_"),"+","_"),",","_"),"-","_"),".","_"),"/","_"),":","_"),";","_"),"&lt;","_"),"=","_"),"&gt;","_"),"?","_"),"@","_"),"[","_"),"\","_"),"]","_"),"^","_"),"`","_"),"{","_"),"|","_"),"}","_"),"~","_"),"–","_"),"—","_"),"’","_"),"“","_"),"”","_"),CHAR(9),"_"),CHAR(160),"_"))</f>
        <v/>
      </c>
      <c r="AH13" s="4">
        <f>IF(AG13="","",SUBSTITUTE(SUBSTITUTE(SUBSTITUTE(SUBSTITUTE(SUBSTITUTE(SUBSTITUTE(SUBSTITUTE(SUBSTITUTE(AG13,"__","_"),"__","_"),"__","_"),"__","_"),"__","_"),"__","_"),"__","_"),"__","_"))</f>
        <v/>
      </c>
      <c r="AI13" s="4">
        <f>IF(OR(AH13="",AH13="_"),"",IF(LEFT(AH13,1)="_",IF(RIGHT(AH13,1)="_",MID(AH13,2,LEN(AH13)-2),RIGHT(AH13,LEN(AH13)-1)),IF(RIGHT(AH13,1)="_",LEFT(AH13,LEN(AH13)-1),AH13)))</f>
        <v/>
      </c>
    </row>
    <row r="14">
      <c r="A14" s="4" t="inlineStr"/>
      <c r="B14" s="4" t="inlineStr"/>
      <c r="C14" s="4" t="inlineStr"/>
      <c r="D14" s="4" t="inlineStr"/>
      <c r="E14" s="4" t="inlineStr"/>
      <c r="F14" s="4" t="inlineStr"/>
      <c r="G14" s="4" t="inlineStr"/>
      <c r="H14" s="4" t="inlineStr"/>
      <c r="I14" s="4" t="inlineStr"/>
      <c r="J14" s="4" t="inlineStr"/>
      <c r="K14" s="4" t="inlineStr"/>
      <c r="L14" s="4">
        <f>IF(AC14&lt;&gt;"",AC14,"")&amp;IF(AF14&lt;&gt;"",IF(AC14&lt;&gt;"","_"&amp;AF14,AF14),"")&amp;IF(AI14&lt;&gt;"",IF(AC14&lt;&gt;"","_"&amp;AI14,AI14),"")</f>
        <v/>
      </c>
      <c r="M14" s="4">
        <f>IF(TRIM(K14)&lt;&gt;"",TRIM(K14),L14)</f>
        <v/>
      </c>
      <c r="N14" s="4">
        <f>IF(OR(A14="",B14="",C14="",D14="",F14="",G14="",H14="",I14=""),"Missing required field — fill in channel, market, activity_ownership, intended_model_role, model_input_measure, economic_treatment, planning_eligibility, and source.",IF(L14="","Missing required field — channel must be filled in to build an ID.",IF(COUNTIF($M$8:$M$31,M14)&gt;1,"Duplicate activity ID — two rows currently build the same activity_id; add the next meaningful field, not a random number.",IF(AND(J14&lt;&gt;"",J14&lt;&gt;M14),"Existing activity_id differs from the built ID — review before using.","Ready"))))</f>
        <v/>
      </c>
      <c r="O14" s="4" t="inlineStr"/>
      <c r="P14" s="4" t="inlineStr"/>
      <c r="Q14" s="4" t="inlineStr"/>
      <c r="R14" s="4" t="inlineStr"/>
      <c r="S14" s="4" t="inlineStr"/>
      <c r="T14" s="4" t="inlineStr"/>
      <c r="U14" s="4" t="inlineStr"/>
      <c r="V14" s="4" t="inlineStr"/>
      <c r="W14" s="4" t="inlineStr"/>
      <c r="X14" s="4" t="inlineStr"/>
      <c r="Y14" s="4" t="n"/>
      <c r="Z14" s="4" t="n"/>
      <c r="AA14" s="4">
        <f>IF(OR(LOWER(TRIM(A14))="",LOWER(TRIM(A14))="nan",LOWER(TRIM(A14))="none",LOWER(TRIM(A14))="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14))," ","_"),"!","_"),"#","_"),"$","_"),"%","_"),"&amp;","_"),"'","_"),"(","_"),")","_"),"*","_"),"+","_"),",","_"),"-","_"),".","_"),"/","_"),":","_"),";","_"),"&lt;","_"),"=","_"),"&gt;","_"),"?","_"),"@","_"),"[","_"),"\","_"),"]","_"),"^","_"),"`","_"),"{","_"),"|","_"),"}","_"),"~","_"),"–","_"),"—","_"),"’","_"),"“","_"),"”","_"),CHAR(9),"_"),CHAR(160),"_"))</f>
        <v/>
      </c>
      <c r="AB14" s="4">
        <f>IF(AA14="","",SUBSTITUTE(SUBSTITUTE(SUBSTITUTE(SUBSTITUTE(SUBSTITUTE(SUBSTITUTE(SUBSTITUTE(SUBSTITUTE(AA14,"__","_"),"__","_"),"__","_"),"__","_"),"__","_"),"__","_"),"__","_"),"__","_"))</f>
        <v/>
      </c>
      <c r="AC14" s="4">
        <f>IF(OR(AB14="",AB14="_"),"",IF(LEFT(AB14,1)="_",IF(RIGHT(AB14,1)="_",MID(AB14,2,LEN(AB14)-2),RIGHT(AB14,LEN(AB14)-1)),IF(RIGHT(AB14,1)="_",LEFT(AB14,LEN(AB14)-1),AB14)))</f>
        <v/>
      </c>
      <c r="AD14" s="4">
        <f>IF(OR(LOWER(TRIM(O14))="",LOWER(TRIM(O14))="nan",LOWER(TRIM(O14))="none",LOWER(TRIM(O14))="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14))," ","_"),"!","_"),"#","_"),"$","_"),"%","_"),"&amp;","_"),"'","_"),"(","_"),")","_"),"*","_"),"+","_"),",","_"),"-","_"),".","_"),"/","_"),":","_"),";","_"),"&lt;","_"),"=","_"),"&gt;","_"),"?","_"),"@","_"),"[","_"),"\","_"),"]","_"),"^","_"),"`","_"),"{","_"),"|","_"),"}","_"),"~","_"),"–","_"),"—","_"),"’","_"),"“","_"),"”","_"),CHAR(9),"_"),CHAR(160),"_"))</f>
        <v/>
      </c>
      <c r="AE14" s="4">
        <f>IF(AD14="","",SUBSTITUTE(SUBSTITUTE(SUBSTITUTE(SUBSTITUTE(SUBSTITUTE(SUBSTITUTE(SUBSTITUTE(SUBSTITUTE(AD14,"__","_"),"__","_"),"__","_"),"__","_"),"__","_"),"__","_"),"__","_"),"__","_"))</f>
        <v/>
      </c>
      <c r="AF14" s="4">
        <f>IF(OR(AE14="",AE14="_"),"",IF(LEFT(AE14,1)="_",IF(RIGHT(AE14,1)="_",MID(AE14,2,LEN(AE14)-2),RIGHT(AE14,LEN(AE14)-1)),IF(RIGHT(AE14,1)="_",LEFT(AE14,LEN(AE14)-1),AE14)))</f>
        <v/>
      </c>
      <c r="AG14" s="4">
        <f>IF(OR(LOWER(TRIM(P14))="",LOWER(TRIM(P14))="nan",LOWER(TRIM(P14))="none",LOWER(TRIM(P14))="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14))," ","_"),"!","_"),"#","_"),"$","_"),"%","_"),"&amp;","_"),"'","_"),"(","_"),")","_"),"*","_"),"+","_"),",","_"),"-","_"),".","_"),"/","_"),":","_"),";","_"),"&lt;","_"),"=","_"),"&gt;","_"),"?","_"),"@","_"),"[","_"),"\","_"),"]","_"),"^","_"),"`","_"),"{","_"),"|","_"),"}","_"),"~","_"),"–","_"),"—","_"),"’","_"),"“","_"),"”","_"),CHAR(9),"_"),CHAR(160),"_"))</f>
        <v/>
      </c>
      <c r="AH14" s="4">
        <f>IF(AG14="","",SUBSTITUTE(SUBSTITUTE(SUBSTITUTE(SUBSTITUTE(SUBSTITUTE(SUBSTITUTE(SUBSTITUTE(SUBSTITUTE(AG14,"__","_"),"__","_"),"__","_"),"__","_"),"__","_"),"__","_"),"__","_"),"__","_"))</f>
        <v/>
      </c>
      <c r="AI14" s="4">
        <f>IF(OR(AH14="",AH14="_"),"",IF(LEFT(AH14,1)="_",IF(RIGHT(AH14,1)="_",MID(AH14,2,LEN(AH14)-2),RIGHT(AH14,LEN(AH14)-1)),IF(RIGHT(AH14,1)="_",LEFT(AH14,LEN(AH14)-1),AH14)))</f>
        <v/>
      </c>
    </row>
    <row r="15">
      <c r="A15" s="4" t="inlineStr"/>
      <c r="B15" s="4" t="inlineStr"/>
      <c r="C15" s="4" t="inlineStr"/>
      <c r="D15" s="4" t="inlineStr"/>
      <c r="E15" s="4" t="inlineStr"/>
      <c r="F15" s="4" t="inlineStr"/>
      <c r="G15" s="4" t="inlineStr"/>
      <c r="H15" s="4" t="inlineStr"/>
      <c r="I15" s="4" t="inlineStr"/>
      <c r="J15" s="4" t="inlineStr"/>
      <c r="K15" s="4" t="inlineStr"/>
      <c r="L15" s="4">
        <f>IF(AC15&lt;&gt;"",AC15,"")&amp;IF(AF15&lt;&gt;"",IF(AC15&lt;&gt;"","_"&amp;AF15,AF15),"")&amp;IF(AI15&lt;&gt;"",IF(AC15&lt;&gt;"","_"&amp;AI15,AI15),"")</f>
        <v/>
      </c>
      <c r="M15" s="4">
        <f>IF(TRIM(K15)&lt;&gt;"",TRIM(K15),L15)</f>
        <v/>
      </c>
      <c r="N15" s="4">
        <f>IF(OR(A15="",B15="",C15="",D15="",F15="",G15="",H15="",I15=""),"Missing required field — fill in channel, market, activity_ownership, intended_model_role, model_input_measure, economic_treatment, planning_eligibility, and source.",IF(L15="","Missing required field — channel must be filled in to build an ID.",IF(COUNTIF($M$8:$M$31,M15)&gt;1,"Duplicate activity ID — two rows currently build the same activity_id; add the next meaningful field, not a random number.",IF(AND(J15&lt;&gt;"",J15&lt;&gt;M15),"Existing activity_id differs from the built ID — review before using.","Ready"))))</f>
        <v/>
      </c>
      <c r="O15" s="4" t="inlineStr"/>
      <c r="P15" s="4" t="inlineStr"/>
      <c r="Q15" s="4" t="inlineStr"/>
      <c r="R15" s="4" t="inlineStr"/>
      <c r="S15" s="4" t="inlineStr"/>
      <c r="T15" s="4" t="inlineStr"/>
      <c r="U15" s="4" t="inlineStr"/>
      <c r="V15" s="4" t="inlineStr"/>
      <c r="W15" s="4" t="inlineStr"/>
      <c r="X15" s="4" t="inlineStr"/>
      <c r="Y15" s="4" t="n"/>
      <c r="Z15" s="4" t="n"/>
      <c r="AA15" s="4">
        <f>IF(OR(LOWER(TRIM(A15))="",LOWER(TRIM(A15))="nan",LOWER(TRIM(A15))="none",LOWER(TRIM(A15))="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15))," ","_"),"!","_"),"#","_"),"$","_"),"%","_"),"&amp;","_"),"'","_"),"(","_"),")","_"),"*","_"),"+","_"),",","_"),"-","_"),".","_"),"/","_"),":","_"),";","_"),"&lt;","_"),"=","_"),"&gt;","_"),"?","_"),"@","_"),"[","_"),"\","_"),"]","_"),"^","_"),"`","_"),"{","_"),"|","_"),"}","_"),"~","_"),"–","_"),"—","_"),"’","_"),"“","_"),"”","_"),CHAR(9),"_"),CHAR(160),"_"))</f>
        <v/>
      </c>
      <c r="AB15" s="4">
        <f>IF(AA15="","",SUBSTITUTE(SUBSTITUTE(SUBSTITUTE(SUBSTITUTE(SUBSTITUTE(SUBSTITUTE(SUBSTITUTE(SUBSTITUTE(AA15,"__","_"),"__","_"),"__","_"),"__","_"),"__","_"),"__","_"),"__","_"),"__","_"))</f>
        <v/>
      </c>
      <c r="AC15" s="4">
        <f>IF(OR(AB15="",AB15="_"),"",IF(LEFT(AB15,1)="_",IF(RIGHT(AB15,1)="_",MID(AB15,2,LEN(AB15)-2),RIGHT(AB15,LEN(AB15)-1)),IF(RIGHT(AB15,1)="_",LEFT(AB15,LEN(AB15)-1),AB15)))</f>
        <v/>
      </c>
      <c r="AD15" s="4">
        <f>IF(OR(LOWER(TRIM(O15))="",LOWER(TRIM(O15))="nan",LOWER(TRIM(O15))="none",LOWER(TRIM(O15))="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15))," ","_"),"!","_"),"#","_"),"$","_"),"%","_"),"&amp;","_"),"'","_"),"(","_"),")","_"),"*","_"),"+","_"),",","_"),"-","_"),".","_"),"/","_"),":","_"),";","_"),"&lt;","_"),"=","_"),"&gt;","_"),"?","_"),"@","_"),"[","_"),"\","_"),"]","_"),"^","_"),"`","_"),"{","_"),"|","_"),"}","_"),"~","_"),"–","_"),"—","_"),"’","_"),"“","_"),"”","_"),CHAR(9),"_"),CHAR(160),"_"))</f>
        <v/>
      </c>
      <c r="AE15" s="4">
        <f>IF(AD15="","",SUBSTITUTE(SUBSTITUTE(SUBSTITUTE(SUBSTITUTE(SUBSTITUTE(SUBSTITUTE(SUBSTITUTE(SUBSTITUTE(AD15,"__","_"),"__","_"),"__","_"),"__","_"),"__","_"),"__","_"),"__","_"),"__","_"))</f>
        <v/>
      </c>
      <c r="AF15" s="4">
        <f>IF(OR(AE15="",AE15="_"),"",IF(LEFT(AE15,1)="_",IF(RIGHT(AE15,1)="_",MID(AE15,2,LEN(AE15)-2),RIGHT(AE15,LEN(AE15)-1)),IF(RIGHT(AE15,1)="_",LEFT(AE15,LEN(AE15)-1),AE15)))</f>
        <v/>
      </c>
      <c r="AG15" s="4">
        <f>IF(OR(LOWER(TRIM(P15))="",LOWER(TRIM(P15))="nan",LOWER(TRIM(P15))="none",LOWER(TRIM(P15))="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15))," ","_"),"!","_"),"#","_"),"$","_"),"%","_"),"&amp;","_"),"'","_"),"(","_"),")","_"),"*","_"),"+","_"),",","_"),"-","_"),".","_"),"/","_"),":","_"),";","_"),"&lt;","_"),"=","_"),"&gt;","_"),"?","_"),"@","_"),"[","_"),"\","_"),"]","_"),"^","_"),"`","_"),"{","_"),"|","_"),"}","_"),"~","_"),"–","_"),"—","_"),"’","_"),"“","_"),"”","_"),CHAR(9),"_"),CHAR(160),"_"))</f>
        <v/>
      </c>
      <c r="AH15" s="4">
        <f>IF(AG15="","",SUBSTITUTE(SUBSTITUTE(SUBSTITUTE(SUBSTITUTE(SUBSTITUTE(SUBSTITUTE(SUBSTITUTE(SUBSTITUTE(AG15,"__","_"),"__","_"),"__","_"),"__","_"),"__","_"),"__","_"),"__","_"),"__","_"))</f>
        <v/>
      </c>
      <c r="AI15" s="4">
        <f>IF(OR(AH15="",AH15="_"),"",IF(LEFT(AH15,1)="_",IF(RIGHT(AH15,1)="_",MID(AH15,2,LEN(AH15)-2),RIGHT(AH15,LEN(AH15)-1)),IF(RIGHT(AH15,1)="_",LEFT(AH15,LEN(AH15)-1),AH15)))</f>
        <v/>
      </c>
    </row>
    <row r="16">
      <c r="A16" s="4" t="inlineStr"/>
      <c r="B16" s="4" t="inlineStr"/>
      <c r="C16" s="4" t="inlineStr"/>
      <c r="D16" s="4" t="inlineStr"/>
      <c r="E16" s="4" t="inlineStr"/>
      <c r="F16" s="4" t="inlineStr"/>
      <c r="G16" s="4" t="inlineStr"/>
      <c r="H16" s="4" t="inlineStr"/>
      <c r="I16" s="4" t="inlineStr"/>
      <c r="J16" s="4" t="inlineStr"/>
      <c r="K16" s="4" t="inlineStr"/>
      <c r="L16" s="4">
        <f>IF(AC16&lt;&gt;"",AC16,"")&amp;IF(AF16&lt;&gt;"",IF(AC16&lt;&gt;"","_"&amp;AF16,AF16),"")&amp;IF(AI16&lt;&gt;"",IF(AC16&lt;&gt;"","_"&amp;AI16,AI16),"")</f>
        <v/>
      </c>
      <c r="M16" s="4">
        <f>IF(TRIM(K16)&lt;&gt;"",TRIM(K16),L16)</f>
        <v/>
      </c>
      <c r="N16" s="4">
        <f>IF(OR(A16="",B16="",C16="",D16="",F16="",G16="",H16="",I16=""),"Missing required field — fill in channel, market, activity_ownership, intended_model_role, model_input_measure, economic_treatment, planning_eligibility, and source.",IF(L16="","Missing required field — channel must be filled in to build an ID.",IF(COUNTIF($M$8:$M$31,M16)&gt;1,"Duplicate activity ID — two rows currently build the same activity_id; add the next meaningful field, not a random number.",IF(AND(J16&lt;&gt;"",J16&lt;&gt;M16),"Existing activity_id differs from the built ID — review before using.","Ready"))))</f>
        <v/>
      </c>
      <c r="O16" s="4" t="inlineStr"/>
      <c r="P16" s="4" t="inlineStr"/>
      <c r="Q16" s="4" t="inlineStr"/>
      <c r="R16" s="4" t="inlineStr"/>
      <c r="S16" s="4" t="inlineStr"/>
      <c r="T16" s="4" t="inlineStr"/>
      <c r="U16" s="4" t="inlineStr"/>
      <c r="V16" s="4" t="inlineStr"/>
      <c r="W16" s="4" t="inlineStr"/>
      <c r="X16" s="4" t="inlineStr"/>
      <c r="Y16" s="4" t="n"/>
      <c r="Z16" s="4" t="n"/>
      <c r="AA16" s="4">
        <f>IF(OR(LOWER(TRIM(A16))="",LOWER(TRIM(A16))="nan",LOWER(TRIM(A16))="none",LOWER(TRIM(A16))="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16))," ","_"),"!","_"),"#","_"),"$","_"),"%","_"),"&amp;","_"),"'","_"),"(","_"),")","_"),"*","_"),"+","_"),",","_"),"-","_"),".","_"),"/","_"),":","_"),";","_"),"&lt;","_"),"=","_"),"&gt;","_"),"?","_"),"@","_"),"[","_"),"\","_"),"]","_"),"^","_"),"`","_"),"{","_"),"|","_"),"}","_"),"~","_"),"–","_"),"—","_"),"’","_"),"“","_"),"”","_"),CHAR(9),"_"),CHAR(160),"_"))</f>
        <v/>
      </c>
      <c r="AB16" s="4">
        <f>IF(AA16="","",SUBSTITUTE(SUBSTITUTE(SUBSTITUTE(SUBSTITUTE(SUBSTITUTE(SUBSTITUTE(SUBSTITUTE(SUBSTITUTE(AA16,"__","_"),"__","_"),"__","_"),"__","_"),"__","_"),"__","_"),"__","_"),"__","_"))</f>
        <v/>
      </c>
      <c r="AC16" s="4">
        <f>IF(OR(AB16="",AB16="_"),"",IF(LEFT(AB16,1)="_",IF(RIGHT(AB16,1)="_",MID(AB16,2,LEN(AB16)-2),RIGHT(AB16,LEN(AB16)-1)),IF(RIGHT(AB16,1)="_",LEFT(AB16,LEN(AB16)-1),AB16)))</f>
        <v/>
      </c>
      <c r="AD16" s="4">
        <f>IF(OR(LOWER(TRIM(O16))="",LOWER(TRIM(O16))="nan",LOWER(TRIM(O16))="none",LOWER(TRIM(O16))="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16))," ","_"),"!","_"),"#","_"),"$","_"),"%","_"),"&amp;","_"),"'","_"),"(","_"),")","_"),"*","_"),"+","_"),",","_"),"-","_"),".","_"),"/","_"),":","_"),";","_"),"&lt;","_"),"=","_"),"&gt;","_"),"?","_"),"@","_"),"[","_"),"\","_"),"]","_"),"^","_"),"`","_"),"{","_"),"|","_"),"}","_"),"~","_"),"–","_"),"—","_"),"’","_"),"“","_"),"”","_"),CHAR(9),"_"),CHAR(160),"_"))</f>
        <v/>
      </c>
      <c r="AE16" s="4">
        <f>IF(AD16="","",SUBSTITUTE(SUBSTITUTE(SUBSTITUTE(SUBSTITUTE(SUBSTITUTE(SUBSTITUTE(SUBSTITUTE(SUBSTITUTE(AD16,"__","_"),"__","_"),"__","_"),"__","_"),"__","_"),"__","_"),"__","_"),"__","_"))</f>
        <v/>
      </c>
      <c r="AF16" s="4">
        <f>IF(OR(AE16="",AE16="_"),"",IF(LEFT(AE16,1)="_",IF(RIGHT(AE16,1)="_",MID(AE16,2,LEN(AE16)-2),RIGHT(AE16,LEN(AE16)-1)),IF(RIGHT(AE16,1)="_",LEFT(AE16,LEN(AE16)-1),AE16)))</f>
        <v/>
      </c>
      <c r="AG16" s="4">
        <f>IF(OR(LOWER(TRIM(P16))="",LOWER(TRIM(P16))="nan",LOWER(TRIM(P16))="none",LOWER(TRIM(P16))="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16))," ","_"),"!","_"),"#","_"),"$","_"),"%","_"),"&amp;","_"),"'","_"),"(","_"),")","_"),"*","_"),"+","_"),",","_"),"-","_"),".","_"),"/","_"),":","_"),";","_"),"&lt;","_"),"=","_"),"&gt;","_"),"?","_"),"@","_"),"[","_"),"\","_"),"]","_"),"^","_"),"`","_"),"{","_"),"|","_"),"}","_"),"~","_"),"–","_"),"—","_"),"’","_"),"“","_"),"”","_"),CHAR(9),"_"),CHAR(160),"_"))</f>
        <v/>
      </c>
      <c r="AH16" s="4">
        <f>IF(AG16="","",SUBSTITUTE(SUBSTITUTE(SUBSTITUTE(SUBSTITUTE(SUBSTITUTE(SUBSTITUTE(SUBSTITUTE(SUBSTITUTE(AG16,"__","_"),"__","_"),"__","_"),"__","_"),"__","_"),"__","_"),"__","_"),"__","_"))</f>
        <v/>
      </c>
      <c r="AI16" s="4">
        <f>IF(OR(AH16="",AH16="_"),"",IF(LEFT(AH16,1)="_",IF(RIGHT(AH16,1)="_",MID(AH16,2,LEN(AH16)-2),RIGHT(AH16,LEN(AH16)-1)),IF(RIGHT(AH16,1)="_",LEFT(AH16,LEN(AH16)-1),AH16)))</f>
        <v/>
      </c>
    </row>
    <row r="17">
      <c r="A17" s="4" t="inlineStr"/>
      <c r="B17" s="4" t="inlineStr"/>
      <c r="C17" s="4" t="inlineStr"/>
      <c r="D17" s="4" t="inlineStr"/>
      <c r="E17" s="4" t="inlineStr"/>
      <c r="F17" s="4" t="inlineStr"/>
      <c r="G17" s="4" t="inlineStr"/>
      <c r="H17" s="4" t="inlineStr"/>
      <c r="I17" s="4" t="inlineStr"/>
      <c r="J17" s="4" t="inlineStr"/>
      <c r="K17" s="4" t="inlineStr"/>
      <c r="L17" s="4">
        <f>IF(AC17&lt;&gt;"",AC17,"")&amp;IF(AF17&lt;&gt;"",IF(AC17&lt;&gt;"","_"&amp;AF17,AF17),"")&amp;IF(AI17&lt;&gt;"",IF(AC17&lt;&gt;"","_"&amp;AI17,AI17),"")</f>
        <v/>
      </c>
      <c r="M17" s="4">
        <f>IF(TRIM(K17)&lt;&gt;"",TRIM(K17),L17)</f>
        <v/>
      </c>
      <c r="N17" s="4">
        <f>IF(OR(A17="",B17="",C17="",D17="",F17="",G17="",H17="",I17=""),"Missing required field — fill in channel, market, activity_ownership, intended_model_role, model_input_measure, economic_treatment, planning_eligibility, and source.",IF(L17="","Missing required field — channel must be filled in to build an ID.",IF(COUNTIF($M$8:$M$31,M17)&gt;1,"Duplicate activity ID — two rows currently build the same activity_id; add the next meaningful field, not a random number.",IF(AND(J17&lt;&gt;"",J17&lt;&gt;M17),"Existing activity_id differs from the built ID — review before using.","Ready"))))</f>
        <v/>
      </c>
      <c r="O17" s="4" t="inlineStr"/>
      <c r="P17" s="4" t="inlineStr"/>
      <c r="Q17" s="4" t="inlineStr"/>
      <c r="R17" s="4" t="inlineStr"/>
      <c r="S17" s="4" t="inlineStr"/>
      <c r="T17" s="4" t="inlineStr"/>
      <c r="U17" s="4" t="inlineStr"/>
      <c r="V17" s="4" t="inlineStr"/>
      <c r="W17" s="4" t="inlineStr"/>
      <c r="X17" s="4" t="inlineStr"/>
      <c r="Y17" s="4" t="n"/>
      <c r="Z17" s="4" t="n"/>
      <c r="AA17" s="4">
        <f>IF(OR(LOWER(TRIM(A17))="",LOWER(TRIM(A17))="nan",LOWER(TRIM(A17))="none",LOWER(TRIM(A17))="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17))," ","_"),"!","_"),"#","_"),"$","_"),"%","_"),"&amp;","_"),"'","_"),"(","_"),")","_"),"*","_"),"+","_"),",","_"),"-","_"),".","_"),"/","_"),":","_"),";","_"),"&lt;","_"),"=","_"),"&gt;","_"),"?","_"),"@","_"),"[","_"),"\","_"),"]","_"),"^","_"),"`","_"),"{","_"),"|","_"),"}","_"),"~","_"),"–","_"),"—","_"),"’","_"),"“","_"),"”","_"),CHAR(9),"_"),CHAR(160),"_"))</f>
        <v/>
      </c>
      <c r="AB17" s="4">
        <f>IF(AA17="","",SUBSTITUTE(SUBSTITUTE(SUBSTITUTE(SUBSTITUTE(SUBSTITUTE(SUBSTITUTE(SUBSTITUTE(SUBSTITUTE(AA17,"__","_"),"__","_"),"__","_"),"__","_"),"__","_"),"__","_"),"__","_"),"__","_"))</f>
        <v/>
      </c>
      <c r="AC17" s="4">
        <f>IF(OR(AB17="",AB17="_"),"",IF(LEFT(AB17,1)="_",IF(RIGHT(AB17,1)="_",MID(AB17,2,LEN(AB17)-2),RIGHT(AB17,LEN(AB17)-1)),IF(RIGHT(AB17,1)="_",LEFT(AB17,LEN(AB17)-1),AB17)))</f>
        <v/>
      </c>
      <c r="AD17" s="4">
        <f>IF(OR(LOWER(TRIM(O17))="",LOWER(TRIM(O17))="nan",LOWER(TRIM(O17))="none",LOWER(TRIM(O17))="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17))," ","_"),"!","_"),"#","_"),"$","_"),"%","_"),"&amp;","_"),"'","_"),"(","_"),")","_"),"*","_"),"+","_"),",","_"),"-","_"),".","_"),"/","_"),":","_"),";","_"),"&lt;","_"),"=","_"),"&gt;","_"),"?","_"),"@","_"),"[","_"),"\","_"),"]","_"),"^","_"),"`","_"),"{","_"),"|","_"),"}","_"),"~","_"),"–","_"),"—","_"),"’","_"),"“","_"),"”","_"),CHAR(9),"_"),CHAR(160),"_"))</f>
        <v/>
      </c>
      <c r="AE17" s="4">
        <f>IF(AD17="","",SUBSTITUTE(SUBSTITUTE(SUBSTITUTE(SUBSTITUTE(SUBSTITUTE(SUBSTITUTE(SUBSTITUTE(SUBSTITUTE(AD17,"__","_"),"__","_"),"__","_"),"__","_"),"__","_"),"__","_"),"__","_"),"__","_"))</f>
        <v/>
      </c>
      <c r="AF17" s="4">
        <f>IF(OR(AE17="",AE17="_"),"",IF(LEFT(AE17,1)="_",IF(RIGHT(AE17,1)="_",MID(AE17,2,LEN(AE17)-2),RIGHT(AE17,LEN(AE17)-1)),IF(RIGHT(AE17,1)="_",LEFT(AE17,LEN(AE17)-1),AE17)))</f>
        <v/>
      </c>
      <c r="AG17" s="4">
        <f>IF(OR(LOWER(TRIM(P17))="",LOWER(TRIM(P17))="nan",LOWER(TRIM(P17))="none",LOWER(TRIM(P17))="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17))," ","_"),"!","_"),"#","_"),"$","_"),"%","_"),"&amp;","_"),"'","_"),"(","_"),")","_"),"*","_"),"+","_"),",","_"),"-","_"),".","_"),"/","_"),":","_"),";","_"),"&lt;","_"),"=","_"),"&gt;","_"),"?","_"),"@","_"),"[","_"),"\","_"),"]","_"),"^","_"),"`","_"),"{","_"),"|","_"),"}","_"),"~","_"),"–","_"),"—","_"),"’","_"),"“","_"),"”","_"),CHAR(9),"_"),CHAR(160),"_"))</f>
        <v/>
      </c>
      <c r="AH17" s="4">
        <f>IF(AG17="","",SUBSTITUTE(SUBSTITUTE(SUBSTITUTE(SUBSTITUTE(SUBSTITUTE(SUBSTITUTE(SUBSTITUTE(SUBSTITUTE(AG17,"__","_"),"__","_"),"__","_"),"__","_"),"__","_"),"__","_"),"__","_"),"__","_"))</f>
        <v/>
      </c>
      <c r="AI17" s="4">
        <f>IF(OR(AH17="",AH17="_"),"",IF(LEFT(AH17,1)="_",IF(RIGHT(AH17,1)="_",MID(AH17,2,LEN(AH17)-2),RIGHT(AH17,LEN(AH17)-1)),IF(RIGHT(AH17,1)="_",LEFT(AH17,LEN(AH17)-1),AH17)))</f>
        <v/>
      </c>
    </row>
    <row r="18">
      <c r="A18" s="4" t="inlineStr"/>
      <c r="B18" s="4" t="inlineStr"/>
      <c r="C18" s="4" t="inlineStr"/>
      <c r="D18" s="4" t="inlineStr"/>
      <c r="E18" s="4" t="inlineStr"/>
      <c r="F18" s="4" t="inlineStr"/>
      <c r="G18" s="4" t="inlineStr"/>
      <c r="H18" s="4" t="inlineStr"/>
      <c r="I18" s="4" t="inlineStr"/>
      <c r="J18" s="4" t="inlineStr"/>
      <c r="K18" s="4" t="inlineStr"/>
      <c r="L18" s="4">
        <f>IF(AC18&lt;&gt;"",AC18,"")&amp;IF(AF18&lt;&gt;"",IF(AC18&lt;&gt;"","_"&amp;AF18,AF18),"")&amp;IF(AI18&lt;&gt;"",IF(AC18&lt;&gt;"","_"&amp;AI18,AI18),"")</f>
        <v/>
      </c>
      <c r="M18" s="4">
        <f>IF(TRIM(K18)&lt;&gt;"",TRIM(K18),L18)</f>
        <v/>
      </c>
      <c r="N18" s="4">
        <f>IF(OR(A18="",B18="",C18="",D18="",F18="",G18="",H18="",I18=""),"Missing required field — fill in channel, market, activity_ownership, intended_model_role, model_input_measure, economic_treatment, planning_eligibility, and source.",IF(L18="","Missing required field — channel must be filled in to build an ID.",IF(COUNTIF($M$8:$M$31,M18)&gt;1,"Duplicate activity ID — two rows currently build the same activity_id; add the next meaningful field, not a random number.",IF(AND(J18&lt;&gt;"",J18&lt;&gt;M18),"Existing activity_id differs from the built ID — review before using.","Ready"))))</f>
        <v/>
      </c>
      <c r="O18" s="4" t="inlineStr"/>
      <c r="P18" s="4" t="inlineStr"/>
      <c r="Q18" s="4" t="inlineStr"/>
      <c r="R18" s="4" t="inlineStr"/>
      <c r="S18" s="4" t="inlineStr"/>
      <c r="T18" s="4" t="inlineStr"/>
      <c r="U18" s="4" t="inlineStr"/>
      <c r="V18" s="4" t="inlineStr"/>
      <c r="W18" s="4" t="inlineStr"/>
      <c r="X18" s="4" t="inlineStr"/>
      <c r="Y18" s="4" t="n"/>
      <c r="Z18" s="4" t="n"/>
      <c r="AA18" s="4">
        <f>IF(OR(LOWER(TRIM(A18))="",LOWER(TRIM(A18))="nan",LOWER(TRIM(A18))="none",LOWER(TRIM(A18)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18))," ","_"),"!","_"),"#","_"),"$","_"),"%","_"),"&amp;","_"),"'","_"),"(","_"),")","_"),"*","_"),"+","_"),",","_"),"-","_"),".","_"),"/","_"),":","_"),";","_"),"&lt;","_"),"=","_"),"&gt;","_"),"?","_"),"@","_"),"[","_"),"\","_"),"]","_"),"^","_"),"`","_"),"{","_"),"|","_"),"}","_"),"~","_"),"–","_"),"—","_"),"’","_"),"“","_"),"”","_"),CHAR(9),"_"),CHAR(160),"_"))</f>
        <v/>
      </c>
      <c r="AB18" s="4">
        <f>IF(AA18="","",SUBSTITUTE(SUBSTITUTE(SUBSTITUTE(SUBSTITUTE(SUBSTITUTE(SUBSTITUTE(SUBSTITUTE(SUBSTITUTE(AA18,"__","_"),"__","_"),"__","_"),"__","_"),"__","_"),"__","_"),"__","_"),"__","_"))</f>
        <v/>
      </c>
      <c r="AC18" s="4">
        <f>IF(OR(AB18="",AB18="_"),"",IF(LEFT(AB18,1)="_",IF(RIGHT(AB18,1)="_",MID(AB18,2,LEN(AB18)-2),RIGHT(AB18,LEN(AB18)-1)),IF(RIGHT(AB18,1)="_",LEFT(AB18,LEN(AB18)-1),AB18)))</f>
        <v/>
      </c>
      <c r="AD18" s="4">
        <f>IF(OR(LOWER(TRIM(O18))="",LOWER(TRIM(O18))="nan",LOWER(TRIM(O18))="none",LOWER(TRIM(O18)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18))," ","_"),"!","_"),"#","_"),"$","_"),"%","_"),"&amp;","_"),"'","_"),"(","_"),")","_"),"*","_"),"+","_"),",","_"),"-","_"),".","_"),"/","_"),":","_"),";","_"),"&lt;","_"),"=","_"),"&gt;","_"),"?","_"),"@","_"),"[","_"),"\","_"),"]","_"),"^","_"),"`","_"),"{","_"),"|","_"),"}","_"),"~","_"),"–","_"),"—","_"),"’","_"),"“","_"),"”","_"),CHAR(9),"_"),CHAR(160),"_"))</f>
        <v/>
      </c>
      <c r="AE18" s="4">
        <f>IF(AD18="","",SUBSTITUTE(SUBSTITUTE(SUBSTITUTE(SUBSTITUTE(SUBSTITUTE(SUBSTITUTE(SUBSTITUTE(SUBSTITUTE(AD18,"__","_"),"__","_"),"__","_"),"__","_"),"__","_"),"__","_"),"__","_"),"__","_"))</f>
        <v/>
      </c>
      <c r="AF18" s="4">
        <f>IF(OR(AE18="",AE18="_"),"",IF(LEFT(AE18,1)="_",IF(RIGHT(AE18,1)="_",MID(AE18,2,LEN(AE18)-2),RIGHT(AE18,LEN(AE18)-1)),IF(RIGHT(AE18,1)="_",LEFT(AE18,LEN(AE18)-1),AE18)))</f>
        <v/>
      </c>
      <c r="AG18" s="4">
        <f>IF(OR(LOWER(TRIM(P18))="",LOWER(TRIM(P18))="nan",LOWER(TRIM(P18))="none",LOWER(TRIM(P18)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18))," ","_"),"!","_"),"#","_"),"$","_"),"%","_"),"&amp;","_"),"'","_"),"(","_"),")","_"),"*","_"),"+","_"),",","_"),"-","_"),".","_"),"/","_"),":","_"),";","_"),"&lt;","_"),"=","_"),"&gt;","_"),"?","_"),"@","_"),"[","_"),"\","_"),"]","_"),"^","_"),"`","_"),"{","_"),"|","_"),"}","_"),"~","_"),"–","_"),"—","_"),"’","_"),"“","_"),"”","_"),CHAR(9),"_"),CHAR(160),"_"))</f>
        <v/>
      </c>
      <c r="AH18" s="4">
        <f>IF(AG18="","",SUBSTITUTE(SUBSTITUTE(SUBSTITUTE(SUBSTITUTE(SUBSTITUTE(SUBSTITUTE(SUBSTITUTE(SUBSTITUTE(AG18,"__","_"),"__","_"),"__","_"),"__","_"),"__","_"),"__","_"),"__","_"),"__","_"))</f>
        <v/>
      </c>
      <c r="AI18" s="4">
        <f>IF(OR(AH18="",AH18="_"),"",IF(LEFT(AH18,1)="_",IF(RIGHT(AH18,1)="_",MID(AH18,2,LEN(AH18)-2),RIGHT(AH18,LEN(AH18)-1)),IF(RIGHT(AH18,1)="_",LEFT(AH18,LEN(AH18)-1),AH18)))</f>
        <v/>
      </c>
    </row>
    <row r="19">
      <c r="A19" s="4" t="inlineStr"/>
      <c r="B19" s="4" t="inlineStr"/>
      <c r="C19" s="4" t="inlineStr"/>
      <c r="D19" s="4" t="inlineStr"/>
      <c r="E19" s="4" t="inlineStr"/>
      <c r="F19" s="4" t="inlineStr"/>
      <c r="G19" s="4" t="inlineStr"/>
      <c r="H19" s="4" t="inlineStr"/>
      <c r="I19" s="4" t="inlineStr"/>
      <c r="J19" s="4" t="inlineStr"/>
      <c r="K19" s="4" t="inlineStr"/>
      <c r="L19" s="4">
        <f>IF(AC19&lt;&gt;"",AC19,"")&amp;IF(AF19&lt;&gt;"",IF(AC19&lt;&gt;"","_"&amp;AF19,AF19),"")&amp;IF(AI19&lt;&gt;"",IF(AC19&lt;&gt;"","_"&amp;AI19,AI19),"")</f>
        <v/>
      </c>
      <c r="M19" s="4">
        <f>IF(TRIM(K19)&lt;&gt;"",TRIM(K19),L19)</f>
        <v/>
      </c>
      <c r="N19" s="4">
        <f>IF(OR(A19="",B19="",C19="",D19="",F19="",G19="",H19="",I19=""),"Missing required field — fill in channel, market, activity_ownership, intended_model_role, model_input_measure, economic_treatment, planning_eligibility, and source.",IF(L19="","Missing required field — channel must be filled in to build an ID.",IF(COUNTIF($M$8:$M$31,M19)&gt;1,"Duplicate activity ID — two rows currently build the same activity_id; add the next meaningful field, not a random number.",IF(AND(J19&lt;&gt;"",J19&lt;&gt;M19),"Existing activity_id differs from the built ID — review before using.","Ready"))))</f>
        <v/>
      </c>
      <c r="O19" s="4" t="inlineStr"/>
      <c r="P19" s="4" t="inlineStr"/>
      <c r="Q19" s="4" t="inlineStr"/>
      <c r="R19" s="4" t="inlineStr"/>
      <c r="S19" s="4" t="inlineStr"/>
      <c r="T19" s="4" t="inlineStr"/>
      <c r="U19" s="4" t="inlineStr"/>
      <c r="V19" s="4" t="inlineStr"/>
      <c r="W19" s="4" t="inlineStr"/>
      <c r="X19" s="4" t="inlineStr"/>
      <c r="Y19" s="4" t="n"/>
      <c r="Z19" s="4" t="n"/>
      <c r="AA19" s="4">
        <f>IF(OR(LOWER(TRIM(A19))="",LOWER(TRIM(A19))="nan",LOWER(TRIM(A19))="none",LOWER(TRIM(A19)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19))," ","_"),"!","_"),"#","_"),"$","_"),"%","_"),"&amp;","_"),"'","_"),"(","_"),")","_"),"*","_"),"+","_"),",","_"),"-","_"),".","_"),"/","_"),":","_"),";","_"),"&lt;","_"),"=","_"),"&gt;","_"),"?","_"),"@","_"),"[","_"),"\","_"),"]","_"),"^","_"),"`","_"),"{","_"),"|","_"),"}","_"),"~","_"),"–","_"),"—","_"),"’","_"),"“","_"),"”","_"),CHAR(9),"_"),CHAR(160),"_"))</f>
        <v/>
      </c>
      <c r="AB19" s="4">
        <f>IF(AA19="","",SUBSTITUTE(SUBSTITUTE(SUBSTITUTE(SUBSTITUTE(SUBSTITUTE(SUBSTITUTE(SUBSTITUTE(SUBSTITUTE(AA19,"__","_"),"__","_"),"__","_"),"__","_"),"__","_"),"__","_"),"__","_"),"__","_"))</f>
        <v/>
      </c>
      <c r="AC19" s="4">
        <f>IF(OR(AB19="",AB19="_"),"",IF(LEFT(AB19,1)="_",IF(RIGHT(AB19,1)="_",MID(AB19,2,LEN(AB19)-2),RIGHT(AB19,LEN(AB19)-1)),IF(RIGHT(AB19,1)="_",LEFT(AB19,LEN(AB19)-1),AB19)))</f>
        <v/>
      </c>
      <c r="AD19" s="4">
        <f>IF(OR(LOWER(TRIM(O19))="",LOWER(TRIM(O19))="nan",LOWER(TRIM(O19))="none",LOWER(TRIM(O19)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19))," ","_"),"!","_"),"#","_"),"$","_"),"%","_"),"&amp;","_"),"'","_"),"(","_"),")","_"),"*","_"),"+","_"),",","_"),"-","_"),".","_"),"/","_"),":","_"),";","_"),"&lt;","_"),"=","_"),"&gt;","_"),"?","_"),"@","_"),"[","_"),"\","_"),"]","_"),"^","_"),"`","_"),"{","_"),"|","_"),"}","_"),"~","_"),"–","_"),"—","_"),"’","_"),"“","_"),"”","_"),CHAR(9),"_"),CHAR(160),"_"))</f>
        <v/>
      </c>
      <c r="AE19" s="4">
        <f>IF(AD19="","",SUBSTITUTE(SUBSTITUTE(SUBSTITUTE(SUBSTITUTE(SUBSTITUTE(SUBSTITUTE(SUBSTITUTE(SUBSTITUTE(AD19,"__","_"),"__","_"),"__","_"),"__","_"),"__","_"),"__","_"),"__","_"),"__","_"))</f>
        <v/>
      </c>
      <c r="AF19" s="4">
        <f>IF(OR(AE19="",AE19="_"),"",IF(LEFT(AE19,1)="_",IF(RIGHT(AE19,1)="_",MID(AE19,2,LEN(AE19)-2),RIGHT(AE19,LEN(AE19)-1)),IF(RIGHT(AE19,1)="_",LEFT(AE19,LEN(AE19)-1),AE19)))</f>
        <v/>
      </c>
      <c r="AG19" s="4">
        <f>IF(OR(LOWER(TRIM(P19))="",LOWER(TRIM(P19))="nan",LOWER(TRIM(P19))="none",LOWER(TRIM(P19)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19))," ","_"),"!","_"),"#","_"),"$","_"),"%","_"),"&amp;","_"),"'","_"),"(","_"),")","_"),"*","_"),"+","_"),",","_"),"-","_"),".","_"),"/","_"),":","_"),";","_"),"&lt;","_"),"=","_"),"&gt;","_"),"?","_"),"@","_"),"[","_"),"\","_"),"]","_"),"^","_"),"`","_"),"{","_"),"|","_"),"}","_"),"~","_"),"–","_"),"—","_"),"’","_"),"“","_"),"”","_"),CHAR(9),"_"),CHAR(160),"_"))</f>
        <v/>
      </c>
      <c r="AH19" s="4">
        <f>IF(AG19="","",SUBSTITUTE(SUBSTITUTE(SUBSTITUTE(SUBSTITUTE(SUBSTITUTE(SUBSTITUTE(SUBSTITUTE(SUBSTITUTE(AG19,"__","_"),"__","_"),"__","_"),"__","_"),"__","_"),"__","_"),"__","_"),"__","_"))</f>
        <v/>
      </c>
      <c r="AI19" s="4">
        <f>IF(OR(AH19="",AH19="_"),"",IF(LEFT(AH19,1)="_",IF(RIGHT(AH19,1)="_",MID(AH19,2,LEN(AH19)-2),RIGHT(AH19,LEN(AH19)-1)),IF(RIGHT(AH19,1)="_",LEFT(AH19,LEN(AH19)-1),AH19)))</f>
        <v/>
      </c>
    </row>
    <row r="20">
      <c r="A20" s="4" t="inlineStr"/>
      <c r="B20" s="4" t="inlineStr"/>
      <c r="C20" s="4" t="inlineStr"/>
      <c r="D20" s="4" t="inlineStr"/>
      <c r="E20" s="4" t="inlineStr"/>
      <c r="F20" s="4" t="inlineStr"/>
      <c r="G20" s="4" t="inlineStr"/>
      <c r="H20" s="4" t="inlineStr"/>
      <c r="I20" s="4" t="inlineStr"/>
      <c r="J20" s="4" t="inlineStr"/>
      <c r="K20" s="4" t="inlineStr"/>
      <c r="L20" s="4">
        <f>IF(AC20&lt;&gt;"",AC20,"")&amp;IF(AF20&lt;&gt;"",IF(AC20&lt;&gt;"","_"&amp;AF20,AF20),"")&amp;IF(AI20&lt;&gt;"",IF(AC20&lt;&gt;"","_"&amp;AI20,AI20),"")</f>
        <v/>
      </c>
      <c r="M20" s="4">
        <f>IF(TRIM(K20)&lt;&gt;"",TRIM(K20),L20)</f>
        <v/>
      </c>
      <c r="N20" s="4">
        <f>IF(OR(A20="",B20="",C20="",D20="",F20="",G20="",H20="",I20=""),"Missing required field — fill in channel, market, activity_ownership, intended_model_role, model_input_measure, economic_treatment, planning_eligibility, and source.",IF(L20="","Missing required field — channel must be filled in to build an ID.",IF(COUNTIF($M$8:$M$31,M20)&gt;1,"Duplicate activity ID — two rows currently build the same activity_id; add the next meaningful field, not a random number.",IF(AND(J20&lt;&gt;"",J20&lt;&gt;M20),"Existing activity_id differs from the built ID — review before using.","Ready"))))</f>
        <v/>
      </c>
      <c r="O20" s="4" t="inlineStr"/>
      <c r="P20" s="4" t="inlineStr"/>
      <c r="Q20" s="4" t="inlineStr"/>
      <c r="R20" s="4" t="inlineStr"/>
      <c r="S20" s="4" t="inlineStr"/>
      <c r="T20" s="4" t="inlineStr"/>
      <c r="U20" s="4" t="inlineStr"/>
      <c r="V20" s="4" t="inlineStr"/>
      <c r="W20" s="4" t="inlineStr"/>
      <c r="X20" s="4" t="inlineStr"/>
      <c r="Y20" s="4" t="n"/>
      <c r="Z20" s="4" t="n"/>
      <c r="AA20" s="4">
        <f>IF(OR(LOWER(TRIM(A20))="",LOWER(TRIM(A20))="nan",LOWER(TRIM(A20))="none",LOWER(TRIM(A20)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20))," ","_"),"!","_"),"#","_"),"$","_"),"%","_"),"&amp;","_"),"'","_"),"(","_"),")","_"),"*","_"),"+","_"),",","_"),"-","_"),".","_"),"/","_"),":","_"),";","_"),"&lt;","_"),"=","_"),"&gt;","_"),"?","_"),"@","_"),"[","_"),"\","_"),"]","_"),"^","_"),"`","_"),"{","_"),"|","_"),"}","_"),"~","_"),"–","_"),"—","_"),"’","_"),"“","_"),"”","_"),CHAR(9),"_"),CHAR(160),"_"))</f>
        <v/>
      </c>
      <c r="AB20" s="4">
        <f>IF(AA20="","",SUBSTITUTE(SUBSTITUTE(SUBSTITUTE(SUBSTITUTE(SUBSTITUTE(SUBSTITUTE(SUBSTITUTE(SUBSTITUTE(AA20,"__","_"),"__","_"),"__","_"),"__","_"),"__","_"),"__","_"),"__","_"),"__","_"))</f>
        <v/>
      </c>
      <c r="AC20" s="4">
        <f>IF(OR(AB20="",AB20="_"),"",IF(LEFT(AB20,1)="_",IF(RIGHT(AB20,1)="_",MID(AB20,2,LEN(AB20)-2),RIGHT(AB20,LEN(AB20)-1)),IF(RIGHT(AB20,1)="_",LEFT(AB20,LEN(AB20)-1),AB20)))</f>
        <v/>
      </c>
      <c r="AD20" s="4">
        <f>IF(OR(LOWER(TRIM(O20))="",LOWER(TRIM(O20))="nan",LOWER(TRIM(O20))="none",LOWER(TRIM(O20)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20))," ","_"),"!","_"),"#","_"),"$","_"),"%","_"),"&amp;","_"),"'","_"),"(","_"),")","_"),"*","_"),"+","_"),",","_"),"-","_"),".","_"),"/","_"),":","_"),";","_"),"&lt;","_"),"=","_"),"&gt;","_"),"?","_"),"@","_"),"[","_"),"\","_"),"]","_"),"^","_"),"`","_"),"{","_"),"|","_"),"}","_"),"~","_"),"–","_"),"—","_"),"’","_"),"“","_"),"”","_"),CHAR(9),"_"),CHAR(160),"_"))</f>
        <v/>
      </c>
      <c r="AE20" s="4">
        <f>IF(AD20="","",SUBSTITUTE(SUBSTITUTE(SUBSTITUTE(SUBSTITUTE(SUBSTITUTE(SUBSTITUTE(SUBSTITUTE(SUBSTITUTE(AD20,"__","_"),"__","_"),"__","_"),"__","_"),"__","_"),"__","_"),"__","_"),"__","_"))</f>
        <v/>
      </c>
      <c r="AF20" s="4">
        <f>IF(OR(AE20="",AE20="_"),"",IF(LEFT(AE20,1)="_",IF(RIGHT(AE20,1)="_",MID(AE20,2,LEN(AE20)-2),RIGHT(AE20,LEN(AE20)-1)),IF(RIGHT(AE20,1)="_",LEFT(AE20,LEN(AE20)-1),AE20)))</f>
        <v/>
      </c>
      <c r="AG20" s="4">
        <f>IF(OR(LOWER(TRIM(P20))="",LOWER(TRIM(P20))="nan",LOWER(TRIM(P20))="none",LOWER(TRIM(P20)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20))," ","_"),"!","_"),"#","_"),"$","_"),"%","_"),"&amp;","_"),"'","_"),"(","_"),")","_"),"*","_"),"+","_"),",","_"),"-","_"),".","_"),"/","_"),":","_"),";","_"),"&lt;","_"),"=","_"),"&gt;","_"),"?","_"),"@","_"),"[","_"),"\","_"),"]","_"),"^","_"),"`","_"),"{","_"),"|","_"),"}","_"),"~","_"),"–","_"),"—","_"),"’","_"),"“","_"),"”","_"),CHAR(9),"_"),CHAR(160),"_"))</f>
        <v/>
      </c>
      <c r="AH20" s="4">
        <f>IF(AG20="","",SUBSTITUTE(SUBSTITUTE(SUBSTITUTE(SUBSTITUTE(SUBSTITUTE(SUBSTITUTE(SUBSTITUTE(SUBSTITUTE(AG20,"__","_"),"__","_"),"__","_"),"__","_"),"__","_"),"__","_"),"__","_"),"__","_"))</f>
        <v/>
      </c>
      <c r="AI20" s="4">
        <f>IF(OR(AH20="",AH20="_"),"",IF(LEFT(AH20,1)="_",IF(RIGHT(AH20,1)="_",MID(AH20,2,LEN(AH20)-2),RIGHT(AH20,LEN(AH20)-1)),IF(RIGHT(AH20,1)="_",LEFT(AH20,LEN(AH20)-1),AH20)))</f>
        <v/>
      </c>
    </row>
    <row r="21">
      <c r="A21" s="4" t="inlineStr"/>
      <c r="B21" s="4" t="inlineStr"/>
      <c r="C21" s="4" t="inlineStr"/>
      <c r="D21" s="4" t="inlineStr"/>
      <c r="E21" s="4" t="inlineStr"/>
      <c r="F21" s="4" t="inlineStr"/>
      <c r="G21" s="4" t="inlineStr"/>
      <c r="H21" s="4" t="inlineStr"/>
      <c r="I21" s="4" t="inlineStr"/>
      <c r="J21" s="4" t="inlineStr"/>
      <c r="K21" s="4" t="inlineStr"/>
      <c r="L21" s="4">
        <f>IF(AC21&lt;&gt;"",AC21,"")&amp;IF(AF21&lt;&gt;"",IF(AC21&lt;&gt;"","_"&amp;AF21,AF21),"")&amp;IF(AI21&lt;&gt;"",IF(AC21&lt;&gt;"","_"&amp;AI21,AI21),"")</f>
        <v/>
      </c>
      <c r="M21" s="4">
        <f>IF(TRIM(K21)&lt;&gt;"",TRIM(K21),L21)</f>
        <v/>
      </c>
      <c r="N21" s="4">
        <f>IF(OR(A21="",B21="",C21="",D21="",F21="",G21="",H21="",I21=""),"Missing required field — fill in channel, market, activity_ownership, intended_model_role, model_input_measure, economic_treatment, planning_eligibility, and source.",IF(L21="","Missing required field — channel must be filled in to build an ID.",IF(COUNTIF($M$8:$M$31,M21)&gt;1,"Duplicate activity ID — two rows currently build the same activity_id; add the next meaningful field, not a random number.",IF(AND(J21&lt;&gt;"",J21&lt;&gt;M21),"Existing activity_id differs from the built ID — review before using.","Ready"))))</f>
        <v/>
      </c>
      <c r="O21" s="4" t="inlineStr"/>
      <c r="P21" s="4" t="inlineStr"/>
      <c r="Q21" s="4" t="inlineStr"/>
      <c r="R21" s="4" t="inlineStr"/>
      <c r="S21" s="4" t="inlineStr"/>
      <c r="T21" s="4" t="inlineStr"/>
      <c r="U21" s="4" t="inlineStr"/>
      <c r="V21" s="4" t="inlineStr"/>
      <c r="W21" s="4" t="inlineStr"/>
      <c r="X21" s="4" t="inlineStr"/>
      <c r="Y21" s="4" t="n"/>
      <c r="Z21" s="4" t="n"/>
      <c r="AA21" s="4">
        <f>IF(OR(LOWER(TRIM(A21))="",LOWER(TRIM(A21))="nan",LOWER(TRIM(A21))="none",LOWER(TRIM(A21)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21))," ","_"),"!","_"),"#","_"),"$","_"),"%","_"),"&amp;","_"),"'","_"),"(","_"),")","_"),"*","_"),"+","_"),",","_"),"-","_"),".","_"),"/","_"),":","_"),";","_"),"&lt;","_"),"=","_"),"&gt;","_"),"?","_"),"@","_"),"[","_"),"\","_"),"]","_"),"^","_"),"`","_"),"{","_"),"|","_"),"}","_"),"~","_"),"–","_"),"—","_"),"’","_"),"“","_"),"”","_"),CHAR(9),"_"),CHAR(160),"_"))</f>
        <v/>
      </c>
      <c r="AB21" s="4">
        <f>IF(AA21="","",SUBSTITUTE(SUBSTITUTE(SUBSTITUTE(SUBSTITUTE(SUBSTITUTE(SUBSTITUTE(SUBSTITUTE(SUBSTITUTE(AA21,"__","_"),"__","_"),"__","_"),"__","_"),"__","_"),"__","_"),"__","_"),"__","_"))</f>
        <v/>
      </c>
      <c r="AC21" s="4">
        <f>IF(OR(AB21="",AB21="_"),"",IF(LEFT(AB21,1)="_",IF(RIGHT(AB21,1)="_",MID(AB21,2,LEN(AB21)-2),RIGHT(AB21,LEN(AB21)-1)),IF(RIGHT(AB21,1)="_",LEFT(AB21,LEN(AB21)-1),AB21)))</f>
        <v/>
      </c>
      <c r="AD21" s="4">
        <f>IF(OR(LOWER(TRIM(O21))="",LOWER(TRIM(O21))="nan",LOWER(TRIM(O21))="none",LOWER(TRIM(O21)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21))," ","_"),"!","_"),"#","_"),"$","_"),"%","_"),"&amp;","_"),"'","_"),"(","_"),")","_"),"*","_"),"+","_"),",","_"),"-","_"),".","_"),"/","_"),":","_"),";","_"),"&lt;","_"),"=","_"),"&gt;","_"),"?","_"),"@","_"),"[","_"),"\","_"),"]","_"),"^","_"),"`","_"),"{","_"),"|","_"),"}","_"),"~","_"),"–","_"),"—","_"),"’","_"),"“","_"),"”","_"),CHAR(9),"_"),CHAR(160),"_"))</f>
        <v/>
      </c>
      <c r="AE21" s="4">
        <f>IF(AD21="","",SUBSTITUTE(SUBSTITUTE(SUBSTITUTE(SUBSTITUTE(SUBSTITUTE(SUBSTITUTE(SUBSTITUTE(SUBSTITUTE(AD21,"__","_"),"__","_"),"__","_"),"__","_"),"__","_"),"__","_"),"__","_"),"__","_"))</f>
        <v/>
      </c>
      <c r="AF21" s="4">
        <f>IF(OR(AE21="",AE21="_"),"",IF(LEFT(AE21,1)="_",IF(RIGHT(AE21,1)="_",MID(AE21,2,LEN(AE21)-2),RIGHT(AE21,LEN(AE21)-1)),IF(RIGHT(AE21,1)="_",LEFT(AE21,LEN(AE21)-1),AE21)))</f>
        <v/>
      </c>
      <c r="AG21" s="4">
        <f>IF(OR(LOWER(TRIM(P21))="",LOWER(TRIM(P21))="nan",LOWER(TRIM(P21))="none",LOWER(TRIM(P21)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21))," ","_"),"!","_"),"#","_"),"$","_"),"%","_"),"&amp;","_"),"'","_"),"(","_"),")","_"),"*","_"),"+","_"),",","_"),"-","_"),".","_"),"/","_"),":","_"),";","_"),"&lt;","_"),"=","_"),"&gt;","_"),"?","_"),"@","_"),"[","_"),"\","_"),"]","_"),"^","_"),"`","_"),"{","_"),"|","_"),"}","_"),"~","_"),"–","_"),"—","_"),"’","_"),"“","_"),"”","_"),CHAR(9),"_"),CHAR(160),"_"))</f>
        <v/>
      </c>
      <c r="AH21" s="4">
        <f>IF(AG21="","",SUBSTITUTE(SUBSTITUTE(SUBSTITUTE(SUBSTITUTE(SUBSTITUTE(SUBSTITUTE(SUBSTITUTE(SUBSTITUTE(AG21,"__","_"),"__","_"),"__","_"),"__","_"),"__","_"),"__","_"),"__","_"),"__","_"))</f>
        <v/>
      </c>
      <c r="AI21" s="4">
        <f>IF(OR(AH21="",AH21="_"),"",IF(LEFT(AH21,1)="_",IF(RIGHT(AH21,1)="_",MID(AH21,2,LEN(AH21)-2),RIGHT(AH21,LEN(AH21)-1)),IF(RIGHT(AH21,1)="_",LEFT(AH21,LEN(AH21)-1),AH21)))</f>
        <v/>
      </c>
    </row>
    <row r="22">
      <c r="A22" s="4" t="inlineStr"/>
      <c r="B22" s="4" t="inlineStr"/>
      <c r="C22" s="4" t="inlineStr"/>
      <c r="D22" s="4" t="inlineStr"/>
      <c r="E22" s="4" t="inlineStr"/>
      <c r="F22" s="4" t="inlineStr"/>
      <c r="G22" s="4" t="inlineStr"/>
      <c r="H22" s="4" t="inlineStr"/>
      <c r="I22" s="4" t="inlineStr"/>
      <c r="J22" s="4" t="inlineStr"/>
      <c r="K22" s="4" t="inlineStr"/>
      <c r="L22" s="4">
        <f>IF(AC22&lt;&gt;"",AC22,"")&amp;IF(AF22&lt;&gt;"",IF(AC22&lt;&gt;"","_"&amp;AF22,AF22),"")&amp;IF(AI22&lt;&gt;"",IF(AC22&lt;&gt;"","_"&amp;AI22,AI22),"")</f>
        <v/>
      </c>
      <c r="M22" s="4">
        <f>IF(TRIM(K22)&lt;&gt;"",TRIM(K22),L22)</f>
        <v/>
      </c>
      <c r="N22" s="4">
        <f>IF(OR(A22="",B22="",C22="",D22="",F22="",G22="",H22="",I22=""),"Missing required field — fill in channel, market, activity_ownership, intended_model_role, model_input_measure, economic_treatment, planning_eligibility, and source.",IF(L22="","Missing required field — channel must be filled in to build an ID.",IF(COUNTIF($M$8:$M$31,M22)&gt;1,"Duplicate activity ID — two rows currently build the same activity_id; add the next meaningful field, not a random number.",IF(AND(J22&lt;&gt;"",J22&lt;&gt;M22),"Existing activity_id differs from the built ID — review before using.","Ready"))))</f>
        <v/>
      </c>
      <c r="O22" s="4" t="inlineStr"/>
      <c r="P22" s="4" t="inlineStr"/>
      <c r="Q22" s="4" t="inlineStr"/>
      <c r="R22" s="4" t="inlineStr"/>
      <c r="S22" s="4" t="inlineStr"/>
      <c r="T22" s="4" t="inlineStr"/>
      <c r="U22" s="4" t="inlineStr"/>
      <c r="V22" s="4" t="inlineStr"/>
      <c r="W22" s="4" t="inlineStr"/>
      <c r="X22" s="4" t="inlineStr"/>
      <c r="Y22" s="4" t="n"/>
      <c r="Z22" s="4" t="n"/>
      <c r="AA22" s="4">
        <f>IF(OR(LOWER(TRIM(A22))="",LOWER(TRIM(A22))="nan",LOWER(TRIM(A22))="none",LOWER(TRIM(A22))="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22))," ","_"),"!","_"),"#","_"),"$","_"),"%","_"),"&amp;","_"),"'","_"),"(","_"),")","_"),"*","_"),"+","_"),",","_"),"-","_"),".","_"),"/","_"),":","_"),";","_"),"&lt;","_"),"=","_"),"&gt;","_"),"?","_"),"@","_"),"[","_"),"\","_"),"]","_"),"^","_"),"`","_"),"{","_"),"|","_"),"}","_"),"~","_"),"–","_"),"—","_"),"’","_"),"“","_"),"”","_"),CHAR(9),"_"),CHAR(160),"_"))</f>
        <v/>
      </c>
      <c r="AB22" s="4">
        <f>IF(AA22="","",SUBSTITUTE(SUBSTITUTE(SUBSTITUTE(SUBSTITUTE(SUBSTITUTE(SUBSTITUTE(SUBSTITUTE(SUBSTITUTE(AA22,"__","_"),"__","_"),"__","_"),"__","_"),"__","_"),"__","_"),"__","_"),"__","_"))</f>
        <v/>
      </c>
      <c r="AC22" s="4">
        <f>IF(OR(AB22="",AB22="_"),"",IF(LEFT(AB22,1)="_",IF(RIGHT(AB22,1)="_",MID(AB22,2,LEN(AB22)-2),RIGHT(AB22,LEN(AB22)-1)),IF(RIGHT(AB22,1)="_",LEFT(AB22,LEN(AB22)-1),AB22)))</f>
        <v/>
      </c>
      <c r="AD22" s="4">
        <f>IF(OR(LOWER(TRIM(O22))="",LOWER(TRIM(O22))="nan",LOWER(TRIM(O22))="none",LOWER(TRIM(O22))="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22))," ","_"),"!","_"),"#","_"),"$","_"),"%","_"),"&amp;","_"),"'","_"),"(","_"),")","_"),"*","_"),"+","_"),",","_"),"-","_"),".","_"),"/","_"),":","_"),";","_"),"&lt;","_"),"=","_"),"&gt;","_"),"?","_"),"@","_"),"[","_"),"\","_"),"]","_"),"^","_"),"`","_"),"{","_"),"|","_"),"}","_"),"~","_"),"–","_"),"—","_"),"’","_"),"“","_"),"”","_"),CHAR(9),"_"),CHAR(160),"_"))</f>
        <v/>
      </c>
      <c r="AE22" s="4">
        <f>IF(AD22="","",SUBSTITUTE(SUBSTITUTE(SUBSTITUTE(SUBSTITUTE(SUBSTITUTE(SUBSTITUTE(SUBSTITUTE(SUBSTITUTE(AD22,"__","_"),"__","_"),"__","_"),"__","_"),"__","_"),"__","_"),"__","_"),"__","_"))</f>
        <v/>
      </c>
      <c r="AF22" s="4">
        <f>IF(OR(AE22="",AE22="_"),"",IF(LEFT(AE22,1)="_",IF(RIGHT(AE22,1)="_",MID(AE22,2,LEN(AE22)-2),RIGHT(AE22,LEN(AE22)-1)),IF(RIGHT(AE22,1)="_",LEFT(AE22,LEN(AE22)-1),AE22)))</f>
        <v/>
      </c>
      <c r="AG22" s="4">
        <f>IF(OR(LOWER(TRIM(P22))="",LOWER(TRIM(P22))="nan",LOWER(TRIM(P22))="none",LOWER(TRIM(P22))="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22))," ","_"),"!","_"),"#","_"),"$","_"),"%","_"),"&amp;","_"),"'","_"),"(","_"),")","_"),"*","_"),"+","_"),",","_"),"-","_"),".","_"),"/","_"),":","_"),";","_"),"&lt;","_"),"=","_"),"&gt;","_"),"?","_"),"@","_"),"[","_"),"\","_"),"]","_"),"^","_"),"`","_"),"{","_"),"|","_"),"}","_"),"~","_"),"–","_"),"—","_"),"’","_"),"“","_"),"”","_"),CHAR(9),"_"),CHAR(160),"_"))</f>
        <v/>
      </c>
      <c r="AH22" s="4">
        <f>IF(AG22="","",SUBSTITUTE(SUBSTITUTE(SUBSTITUTE(SUBSTITUTE(SUBSTITUTE(SUBSTITUTE(SUBSTITUTE(SUBSTITUTE(AG22,"__","_"),"__","_"),"__","_"),"__","_"),"__","_"),"__","_"),"__","_"),"__","_"))</f>
        <v/>
      </c>
      <c r="AI22" s="4">
        <f>IF(OR(AH22="",AH22="_"),"",IF(LEFT(AH22,1)="_",IF(RIGHT(AH22,1)="_",MID(AH22,2,LEN(AH22)-2),RIGHT(AH22,LEN(AH22)-1)),IF(RIGHT(AH22,1)="_",LEFT(AH22,LEN(AH22)-1),AH22)))</f>
        <v/>
      </c>
    </row>
    <row r="23">
      <c r="A23" s="4" t="inlineStr"/>
      <c r="B23" s="4" t="inlineStr"/>
      <c r="C23" s="4" t="inlineStr"/>
      <c r="D23" s="4" t="inlineStr"/>
      <c r="E23" s="4" t="inlineStr"/>
      <c r="F23" s="4" t="inlineStr"/>
      <c r="G23" s="4" t="inlineStr"/>
      <c r="H23" s="4" t="inlineStr"/>
      <c r="I23" s="4" t="inlineStr"/>
      <c r="J23" s="4" t="inlineStr"/>
      <c r="K23" s="4" t="inlineStr"/>
      <c r="L23" s="4">
        <f>IF(AC23&lt;&gt;"",AC23,"")&amp;IF(AF23&lt;&gt;"",IF(AC23&lt;&gt;"","_"&amp;AF23,AF23),"")&amp;IF(AI23&lt;&gt;"",IF(AC23&lt;&gt;"","_"&amp;AI23,AI23),"")</f>
        <v/>
      </c>
      <c r="M23" s="4">
        <f>IF(TRIM(K23)&lt;&gt;"",TRIM(K23),L23)</f>
        <v/>
      </c>
      <c r="N23" s="4">
        <f>IF(OR(A23="",B23="",C23="",D23="",F23="",G23="",H23="",I23=""),"Missing required field — fill in channel, market, activity_ownership, intended_model_role, model_input_measure, economic_treatment, planning_eligibility, and source.",IF(L23="","Missing required field — channel must be filled in to build an ID.",IF(COUNTIF($M$8:$M$31,M23)&gt;1,"Duplicate activity ID — two rows currently build the same activity_id; add the next meaningful field, not a random number.",IF(AND(J23&lt;&gt;"",J23&lt;&gt;M23),"Existing activity_id differs from the built ID — review before using.","Ready"))))</f>
        <v/>
      </c>
      <c r="O23" s="4" t="inlineStr"/>
      <c r="P23" s="4" t="inlineStr"/>
      <c r="Q23" s="4" t="inlineStr"/>
      <c r="R23" s="4" t="inlineStr"/>
      <c r="S23" s="4" t="inlineStr"/>
      <c r="T23" s="4" t="inlineStr"/>
      <c r="U23" s="4" t="inlineStr"/>
      <c r="V23" s="4" t="inlineStr"/>
      <c r="W23" s="4" t="inlineStr"/>
      <c r="X23" s="4" t="inlineStr"/>
      <c r="Y23" s="4" t="n"/>
      <c r="Z23" s="4" t="n"/>
      <c r="AA23" s="4">
        <f>IF(OR(LOWER(TRIM(A23))="",LOWER(TRIM(A23))="nan",LOWER(TRIM(A23))="none",LOWER(TRIM(A23))="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23))," ","_"),"!","_"),"#","_"),"$","_"),"%","_"),"&amp;","_"),"'","_"),"(","_"),")","_"),"*","_"),"+","_"),",","_"),"-","_"),".","_"),"/","_"),":","_"),";","_"),"&lt;","_"),"=","_"),"&gt;","_"),"?","_"),"@","_"),"[","_"),"\","_"),"]","_"),"^","_"),"`","_"),"{","_"),"|","_"),"}","_"),"~","_"),"–","_"),"—","_"),"’","_"),"“","_"),"”","_"),CHAR(9),"_"),CHAR(160),"_"))</f>
        <v/>
      </c>
      <c r="AB23" s="4">
        <f>IF(AA23="","",SUBSTITUTE(SUBSTITUTE(SUBSTITUTE(SUBSTITUTE(SUBSTITUTE(SUBSTITUTE(SUBSTITUTE(SUBSTITUTE(AA23,"__","_"),"__","_"),"__","_"),"__","_"),"__","_"),"__","_"),"__","_"),"__","_"))</f>
        <v/>
      </c>
      <c r="AC23" s="4">
        <f>IF(OR(AB23="",AB23="_"),"",IF(LEFT(AB23,1)="_",IF(RIGHT(AB23,1)="_",MID(AB23,2,LEN(AB23)-2),RIGHT(AB23,LEN(AB23)-1)),IF(RIGHT(AB23,1)="_",LEFT(AB23,LEN(AB23)-1),AB23)))</f>
        <v/>
      </c>
      <c r="AD23" s="4">
        <f>IF(OR(LOWER(TRIM(O23))="",LOWER(TRIM(O23))="nan",LOWER(TRIM(O23))="none",LOWER(TRIM(O23))="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23))," ","_"),"!","_"),"#","_"),"$","_"),"%","_"),"&amp;","_"),"'","_"),"(","_"),")","_"),"*","_"),"+","_"),",","_"),"-","_"),".","_"),"/","_"),":","_"),";","_"),"&lt;","_"),"=","_"),"&gt;","_"),"?","_"),"@","_"),"[","_"),"\","_"),"]","_"),"^","_"),"`","_"),"{","_"),"|","_"),"}","_"),"~","_"),"–","_"),"—","_"),"’","_"),"“","_"),"”","_"),CHAR(9),"_"),CHAR(160),"_"))</f>
        <v/>
      </c>
      <c r="AE23" s="4">
        <f>IF(AD23="","",SUBSTITUTE(SUBSTITUTE(SUBSTITUTE(SUBSTITUTE(SUBSTITUTE(SUBSTITUTE(SUBSTITUTE(SUBSTITUTE(AD23,"__","_"),"__","_"),"__","_"),"__","_"),"__","_"),"__","_"),"__","_"),"__","_"))</f>
        <v/>
      </c>
      <c r="AF23" s="4">
        <f>IF(OR(AE23="",AE23="_"),"",IF(LEFT(AE23,1)="_",IF(RIGHT(AE23,1)="_",MID(AE23,2,LEN(AE23)-2),RIGHT(AE23,LEN(AE23)-1)),IF(RIGHT(AE23,1)="_",LEFT(AE23,LEN(AE23)-1),AE23)))</f>
        <v/>
      </c>
      <c r="AG23" s="4">
        <f>IF(OR(LOWER(TRIM(P23))="",LOWER(TRIM(P23))="nan",LOWER(TRIM(P23))="none",LOWER(TRIM(P23))="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23))," ","_"),"!","_"),"#","_"),"$","_"),"%","_"),"&amp;","_"),"'","_"),"(","_"),")","_"),"*","_"),"+","_"),",","_"),"-","_"),".","_"),"/","_"),":","_"),";","_"),"&lt;","_"),"=","_"),"&gt;","_"),"?","_"),"@","_"),"[","_"),"\","_"),"]","_"),"^","_"),"`","_"),"{","_"),"|","_"),"}","_"),"~","_"),"–","_"),"—","_"),"’","_"),"“","_"),"”","_"),CHAR(9),"_"),CHAR(160),"_"))</f>
        <v/>
      </c>
      <c r="AH23" s="4">
        <f>IF(AG23="","",SUBSTITUTE(SUBSTITUTE(SUBSTITUTE(SUBSTITUTE(SUBSTITUTE(SUBSTITUTE(SUBSTITUTE(SUBSTITUTE(AG23,"__","_"),"__","_"),"__","_"),"__","_"),"__","_"),"__","_"),"__","_"),"__","_"))</f>
        <v/>
      </c>
      <c r="AI23" s="4">
        <f>IF(OR(AH23="",AH23="_"),"",IF(LEFT(AH23,1)="_",IF(RIGHT(AH23,1)="_",MID(AH23,2,LEN(AH23)-2),RIGHT(AH23,LEN(AH23)-1)),IF(RIGHT(AH23,1)="_",LEFT(AH23,LEN(AH23)-1),AH23)))</f>
        <v/>
      </c>
    </row>
    <row r="24">
      <c r="A24" s="4" t="inlineStr"/>
      <c r="B24" s="4" t="inlineStr"/>
      <c r="C24" s="4" t="inlineStr"/>
      <c r="D24" s="4" t="inlineStr"/>
      <c r="E24" s="4" t="inlineStr"/>
      <c r="F24" s="4" t="inlineStr"/>
      <c r="G24" s="4" t="inlineStr"/>
      <c r="H24" s="4" t="inlineStr"/>
      <c r="I24" s="4" t="inlineStr"/>
      <c r="J24" s="4" t="inlineStr"/>
      <c r="K24" s="4" t="inlineStr"/>
      <c r="L24" s="4">
        <f>IF(AC24&lt;&gt;"",AC24,"")&amp;IF(AF24&lt;&gt;"",IF(AC24&lt;&gt;"","_"&amp;AF24,AF24),"")&amp;IF(AI24&lt;&gt;"",IF(AC24&lt;&gt;"","_"&amp;AI24,AI24),"")</f>
        <v/>
      </c>
      <c r="M24" s="4">
        <f>IF(TRIM(K24)&lt;&gt;"",TRIM(K24),L24)</f>
        <v/>
      </c>
      <c r="N24" s="4">
        <f>IF(OR(A24="",B24="",C24="",D24="",F24="",G24="",H24="",I24=""),"Missing required field — fill in channel, market, activity_ownership, intended_model_role, model_input_measure, economic_treatment, planning_eligibility, and source.",IF(L24="","Missing required field — channel must be filled in to build an ID.",IF(COUNTIF($M$8:$M$31,M24)&gt;1,"Duplicate activity ID — two rows currently build the same activity_id; add the next meaningful field, not a random number.",IF(AND(J24&lt;&gt;"",J24&lt;&gt;M24),"Existing activity_id differs from the built ID — review before using.","Ready"))))</f>
        <v/>
      </c>
      <c r="O24" s="4" t="inlineStr"/>
      <c r="P24" s="4" t="inlineStr"/>
      <c r="Q24" s="4" t="inlineStr"/>
      <c r="R24" s="4" t="inlineStr"/>
      <c r="S24" s="4" t="inlineStr"/>
      <c r="T24" s="4" t="inlineStr"/>
      <c r="U24" s="4" t="inlineStr"/>
      <c r="V24" s="4" t="inlineStr"/>
      <c r="W24" s="4" t="inlineStr"/>
      <c r="X24" s="4" t="inlineStr"/>
      <c r="Y24" s="4" t="n"/>
      <c r="Z24" s="4" t="n"/>
      <c r="AA24" s="4">
        <f>IF(OR(LOWER(TRIM(A24))="",LOWER(TRIM(A24))="nan",LOWER(TRIM(A24))="none",LOWER(TRIM(A24))="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24))," ","_"),"!","_"),"#","_"),"$","_"),"%","_"),"&amp;","_"),"'","_"),"(","_"),")","_"),"*","_"),"+","_"),",","_"),"-","_"),".","_"),"/","_"),":","_"),";","_"),"&lt;","_"),"=","_"),"&gt;","_"),"?","_"),"@","_"),"[","_"),"\","_"),"]","_"),"^","_"),"`","_"),"{","_"),"|","_"),"}","_"),"~","_"),"–","_"),"—","_"),"’","_"),"“","_"),"”","_"),CHAR(9),"_"),CHAR(160),"_"))</f>
        <v/>
      </c>
      <c r="AB24" s="4">
        <f>IF(AA24="","",SUBSTITUTE(SUBSTITUTE(SUBSTITUTE(SUBSTITUTE(SUBSTITUTE(SUBSTITUTE(SUBSTITUTE(SUBSTITUTE(AA24,"__","_"),"__","_"),"__","_"),"__","_"),"__","_"),"__","_"),"__","_"),"__","_"))</f>
        <v/>
      </c>
      <c r="AC24" s="4">
        <f>IF(OR(AB24="",AB24="_"),"",IF(LEFT(AB24,1)="_",IF(RIGHT(AB24,1)="_",MID(AB24,2,LEN(AB24)-2),RIGHT(AB24,LEN(AB24)-1)),IF(RIGHT(AB24,1)="_",LEFT(AB24,LEN(AB24)-1),AB24)))</f>
        <v/>
      </c>
      <c r="AD24" s="4">
        <f>IF(OR(LOWER(TRIM(O24))="",LOWER(TRIM(O24))="nan",LOWER(TRIM(O24))="none",LOWER(TRIM(O24))="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24))," ","_"),"!","_"),"#","_"),"$","_"),"%","_"),"&amp;","_"),"'","_"),"(","_"),")","_"),"*","_"),"+","_"),",","_"),"-","_"),".","_"),"/","_"),":","_"),";","_"),"&lt;","_"),"=","_"),"&gt;","_"),"?","_"),"@","_"),"[","_"),"\","_"),"]","_"),"^","_"),"`","_"),"{","_"),"|","_"),"}","_"),"~","_"),"–","_"),"—","_"),"’","_"),"“","_"),"”","_"),CHAR(9),"_"),CHAR(160),"_"))</f>
        <v/>
      </c>
      <c r="AE24" s="4">
        <f>IF(AD24="","",SUBSTITUTE(SUBSTITUTE(SUBSTITUTE(SUBSTITUTE(SUBSTITUTE(SUBSTITUTE(SUBSTITUTE(SUBSTITUTE(AD24,"__","_"),"__","_"),"__","_"),"__","_"),"__","_"),"__","_"),"__","_"),"__","_"))</f>
        <v/>
      </c>
      <c r="AF24" s="4">
        <f>IF(OR(AE24="",AE24="_"),"",IF(LEFT(AE24,1)="_",IF(RIGHT(AE24,1)="_",MID(AE24,2,LEN(AE24)-2),RIGHT(AE24,LEN(AE24)-1)),IF(RIGHT(AE24,1)="_",LEFT(AE24,LEN(AE24)-1),AE24)))</f>
        <v/>
      </c>
      <c r="AG24" s="4">
        <f>IF(OR(LOWER(TRIM(P24))="",LOWER(TRIM(P24))="nan",LOWER(TRIM(P24))="none",LOWER(TRIM(P24))="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24))," ","_"),"!","_"),"#","_"),"$","_"),"%","_"),"&amp;","_"),"'","_"),"(","_"),")","_"),"*","_"),"+","_"),",","_"),"-","_"),".","_"),"/","_"),":","_"),";","_"),"&lt;","_"),"=","_"),"&gt;","_"),"?","_"),"@","_"),"[","_"),"\","_"),"]","_"),"^","_"),"`","_"),"{","_"),"|","_"),"}","_"),"~","_"),"–","_"),"—","_"),"’","_"),"“","_"),"”","_"),CHAR(9),"_"),CHAR(160),"_"))</f>
        <v/>
      </c>
      <c r="AH24" s="4">
        <f>IF(AG24="","",SUBSTITUTE(SUBSTITUTE(SUBSTITUTE(SUBSTITUTE(SUBSTITUTE(SUBSTITUTE(SUBSTITUTE(SUBSTITUTE(AG24,"__","_"),"__","_"),"__","_"),"__","_"),"__","_"),"__","_"),"__","_"),"__","_"))</f>
        <v/>
      </c>
      <c r="AI24" s="4">
        <f>IF(OR(AH24="",AH24="_"),"",IF(LEFT(AH24,1)="_",IF(RIGHT(AH24,1)="_",MID(AH24,2,LEN(AH24)-2),RIGHT(AH24,LEN(AH24)-1)),IF(RIGHT(AH24,1)="_",LEFT(AH24,LEN(AH24)-1),AH24)))</f>
        <v/>
      </c>
    </row>
    <row r="25">
      <c r="A25" s="4" t="inlineStr"/>
      <c r="B25" s="4" t="inlineStr"/>
      <c r="C25" s="4" t="inlineStr"/>
      <c r="D25" s="4" t="inlineStr"/>
      <c r="E25" s="4" t="inlineStr"/>
      <c r="F25" s="4" t="inlineStr"/>
      <c r="G25" s="4" t="inlineStr"/>
      <c r="H25" s="4" t="inlineStr"/>
      <c r="I25" s="4" t="inlineStr"/>
      <c r="J25" s="4" t="inlineStr"/>
      <c r="K25" s="4" t="inlineStr"/>
      <c r="L25" s="4">
        <f>IF(AC25&lt;&gt;"",AC25,"")&amp;IF(AF25&lt;&gt;"",IF(AC25&lt;&gt;"","_"&amp;AF25,AF25),"")&amp;IF(AI25&lt;&gt;"",IF(AC25&lt;&gt;"","_"&amp;AI25,AI25),"")</f>
        <v/>
      </c>
      <c r="M25" s="4">
        <f>IF(TRIM(K25)&lt;&gt;"",TRIM(K25),L25)</f>
        <v/>
      </c>
      <c r="N25" s="4">
        <f>IF(OR(A25="",B25="",C25="",D25="",F25="",G25="",H25="",I25=""),"Missing required field — fill in channel, market, activity_ownership, intended_model_role, model_input_measure, economic_treatment, planning_eligibility, and source.",IF(L25="","Missing required field — channel must be filled in to build an ID.",IF(COUNTIF($M$8:$M$31,M25)&gt;1,"Duplicate activity ID — two rows currently build the same activity_id; add the next meaningful field, not a random number.",IF(AND(J25&lt;&gt;"",J25&lt;&gt;M25),"Existing activity_id differs from the built ID — review before using.","Ready"))))</f>
        <v/>
      </c>
      <c r="O25" s="4" t="inlineStr"/>
      <c r="P25" s="4" t="inlineStr"/>
      <c r="Q25" s="4" t="inlineStr"/>
      <c r="R25" s="4" t="inlineStr"/>
      <c r="S25" s="4" t="inlineStr"/>
      <c r="T25" s="4" t="inlineStr"/>
      <c r="U25" s="4" t="inlineStr"/>
      <c r="V25" s="4" t="inlineStr"/>
      <c r="W25" s="4" t="inlineStr"/>
      <c r="X25" s="4" t="inlineStr"/>
      <c r="Y25" s="4" t="n"/>
      <c r="Z25" s="4" t="n"/>
      <c r="AA25" s="4">
        <f>IF(OR(LOWER(TRIM(A25))="",LOWER(TRIM(A25))="nan",LOWER(TRIM(A25))="none",LOWER(TRIM(A25))="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25))," ","_"),"!","_"),"#","_"),"$","_"),"%","_"),"&amp;","_"),"'","_"),"(","_"),")","_"),"*","_"),"+","_"),",","_"),"-","_"),".","_"),"/","_"),":","_"),";","_"),"&lt;","_"),"=","_"),"&gt;","_"),"?","_"),"@","_"),"[","_"),"\","_"),"]","_"),"^","_"),"`","_"),"{","_"),"|","_"),"}","_"),"~","_"),"–","_"),"—","_"),"’","_"),"“","_"),"”","_"),CHAR(9),"_"),CHAR(160),"_"))</f>
        <v/>
      </c>
      <c r="AB25" s="4">
        <f>IF(AA25="","",SUBSTITUTE(SUBSTITUTE(SUBSTITUTE(SUBSTITUTE(SUBSTITUTE(SUBSTITUTE(SUBSTITUTE(SUBSTITUTE(AA25,"__","_"),"__","_"),"__","_"),"__","_"),"__","_"),"__","_"),"__","_"),"__","_"))</f>
        <v/>
      </c>
      <c r="AC25" s="4">
        <f>IF(OR(AB25="",AB25="_"),"",IF(LEFT(AB25,1)="_",IF(RIGHT(AB25,1)="_",MID(AB25,2,LEN(AB25)-2),RIGHT(AB25,LEN(AB25)-1)),IF(RIGHT(AB25,1)="_",LEFT(AB25,LEN(AB25)-1),AB25)))</f>
        <v/>
      </c>
      <c r="AD25" s="4">
        <f>IF(OR(LOWER(TRIM(O25))="",LOWER(TRIM(O25))="nan",LOWER(TRIM(O25))="none",LOWER(TRIM(O25))="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25))," ","_"),"!","_"),"#","_"),"$","_"),"%","_"),"&amp;","_"),"'","_"),"(","_"),")","_"),"*","_"),"+","_"),",","_"),"-","_"),".","_"),"/","_"),":","_"),";","_"),"&lt;","_"),"=","_"),"&gt;","_"),"?","_"),"@","_"),"[","_"),"\","_"),"]","_"),"^","_"),"`","_"),"{","_"),"|","_"),"}","_"),"~","_"),"–","_"),"—","_"),"’","_"),"“","_"),"”","_"),CHAR(9),"_"),CHAR(160),"_"))</f>
        <v/>
      </c>
      <c r="AE25" s="4">
        <f>IF(AD25="","",SUBSTITUTE(SUBSTITUTE(SUBSTITUTE(SUBSTITUTE(SUBSTITUTE(SUBSTITUTE(SUBSTITUTE(SUBSTITUTE(AD25,"__","_"),"__","_"),"__","_"),"__","_"),"__","_"),"__","_"),"__","_"),"__","_"))</f>
        <v/>
      </c>
      <c r="AF25" s="4">
        <f>IF(OR(AE25="",AE25="_"),"",IF(LEFT(AE25,1)="_",IF(RIGHT(AE25,1)="_",MID(AE25,2,LEN(AE25)-2),RIGHT(AE25,LEN(AE25)-1)),IF(RIGHT(AE25,1)="_",LEFT(AE25,LEN(AE25)-1),AE25)))</f>
        <v/>
      </c>
      <c r="AG25" s="4">
        <f>IF(OR(LOWER(TRIM(P25))="",LOWER(TRIM(P25))="nan",LOWER(TRIM(P25))="none",LOWER(TRIM(P25))="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25))," ","_"),"!","_"),"#","_"),"$","_"),"%","_"),"&amp;","_"),"'","_"),"(","_"),")","_"),"*","_"),"+","_"),",","_"),"-","_"),".","_"),"/","_"),":","_"),";","_"),"&lt;","_"),"=","_"),"&gt;","_"),"?","_"),"@","_"),"[","_"),"\","_"),"]","_"),"^","_"),"`","_"),"{","_"),"|","_"),"}","_"),"~","_"),"–","_"),"—","_"),"’","_"),"“","_"),"”","_"),CHAR(9),"_"),CHAR(160),"_"))</f>
        <v/>
      </c>
      <c r="AH25" s="4">
        <f>IF(AG25="","",SUBSTITUTE(SUBSTITUTE(SUBSTITUTE(SUBSTITUTE(SUBSTITUTE(SUBSTITUTE(SUBSTITUTE(SUBSTITUTE(AG25,"__","_"),"__","_"),"__","_"),"__","_"),"__","_"),"__","_"),"__","_"),"__","_"))</f>
        <v/>
      </c>
      <c r="AI25" s="4">
        <f>IF(OR(AH25="",AH25="_"),"",IF(LEFT(AH25,1)="_",IF(RIGHT(AH25,1)="_",MID(AH25,2,LEN(AH25)-2),RIGHT(AH25,LEN(AH25)-1)),IF(RIGHT(AH25,1)="_",LEFT(AH25,LEN(AH25)-1),AH25)))</f>
        <v/>
      </c>
    </row>
    <row r="26">
      <c r="A26" s="4" t="inlineStr"/>
      <c r="B26" s="4" t="inlineStr"/>
      <c r="C26" s="4" t="inlineStr"/>
      <c r="D26" s="4" t="inlineStr"/>
      <c r="E26" s="4" t="inlineStr"/>
      <c r="F26" s="4" t="inlineStr"/>
      <c r="G26" s="4" t="inlineStr"/>
      <c r="H26" s="4" t="inlineStr"/>
      <c r="I26" s="4" t="inlineStr"/>
      <c r="J26" s="4" t="inlineStr"/>
      <c r="K26" s="4" t="inlineStr"/>
      <c r="L26" s="4">
        <f>IF(AC26&lt;&gt;"",AC26,"")&amp;IF(AF26&lt;&gt;"",IF(AC26&lt;&gt;"","_"&amp;AF26,AF26),"")&amp;IF(AI26&lt;&gt;"",IF(AC26&lt;&gt;"","_"&amp;AI26,AI26),"")</f>
        <v/>
      </c>
      <c r="M26" s="4">
        <f>IF(TRIM(K26)&lt;&gt;"",TRIM(K26),L26)</f>
        <v/>
      </c>
      <c r="N26" s="4">
        <f>IF(OR(A26="",B26="",C26="",D26="",F26="",G26="",H26="",I26=""),"Missing required field — fill in channel, market, activity_ownership, intended_model_role, model_input_measure, economic_treatment, planning_eligibility, and source.",IF(L26="","Missing required field — channel must be filled in to build an ID.",IF(COUNTIF($M$8:$M$31,M26)&gt;1,"Duplicate activity ID — two rows currently build the same activity_id; add the next meaningful field, not a random number.",IF(AND(J26&lt;&gt;"",J26&lt;&gt;M26),"Existing activity_id differs from the built ID — review before using.","Ready"))))</f>
        <v/>
      </c>
      <c r="O26" s="4" t="inlineStr"/>
      <c r="P26" s="4" t="inlineStr"/>
      <c r="Q26" s="4" t="inlineStr"/>
      <c r="R26" s="4" t="inlineStr"/>
      <c r="S26" s="4" t="inlineStr"/>
      <c r="T26" s="4" t="inlineStr"/>
      <c r="U26" s="4" t="inlineStr"/>
      <c r="V26" s="4" t="inlineStr"/>
      <c r="W26" s="4" t="inlineStr"/>
      <c r="X26" s="4" t="inlineStr"/>
      <c r="Y26" s="4" t="n"/>
      <c r="Z26" s="4" t="n"/>
      <c r="AA26" s="4">
        <f>IF(OR(LOWER(TRIM(A26))="",LOWER(TRIM(A26))="nan",LOWER(TRIM(A26))="none",LOWER(TRIM(A26))="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26))," ","_"),"!","_"),"#","_"),"$","_"),"%","_"),"&amp;","_"),"'","_"),"(","_"),")","_"),"*","_"),"+","_"),",","_"),"-","_"),".","_"),"/","_"),":","_"),";","_"),"&lt;","_"),"=","_"),"&gt;","_"),"?","_"),"@","_"),"[","_"),"\","_"),"]","_"),"^","_"),"`","_"),"{","_"),"|","_"),"}","_"),"~","_"),"–","_"),"—","_"),"’","_"),"“","_"),"”","_"),CHAR(9),"_"),CHAR(160),"_"))</f>
        <v/>
      </c>
      <c r="AB26" s="4">
        <f>IF(AA26="","",SUBSTITUTE(SUBSTITUTE(SUBSTITUTE(SUBSTITUTE(SUBSTITUTE(SUBSTITUTE(SUBSTITUTE(SUBSTITUTE(AA26,"__","_"),"__","_"),"__","_"),"__","_"),"__","_"),"__","_"),"__","_"),"__","_"))</f>
        <v/>
      </c>
      <c r="AC26" s="4">
        <f>IF(OR(AB26="",AB26="_"),"",IF(LEFT(AB26,1)="_",IF(RIGHT(AB26,1)="_",MID(AB26,2,LEN(AB26)-2),RIGHT(AB26,LEN(AB26)-1)),IF(RIGHT(AB26,1)="_",LEFT(AB26,LEN(AB26)-1),AB26)))</f>
        <v/>
      </c>
      <c r="AD26" s="4">
        <f>IF(OR(LOWER(TRIM(O26))="",LOWER(TRIM(O26))="nan",LOWER(TRIM(O26))="none",LOWER(TRIM(O26))="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26))," ","_"),"!","_"),"#","_"),"$","_"),"%","_"),"&amp;","_"),"'","_"),"(","_"),")","_"),"*","_"),"+","_"),",","_"),"-","_"),".","_"),"/","_"),":","_"),";","_"),"&lt;","_"),"=","_"),"&gt;","_"),"?","_"),"@","_"),"[","_"),"\","_"),"]","_"),"^","_"),"`","_"),"{","_"),"|","_"),"}","_"),"~","_"),"–","_"),"—","_"),"’","_"),"“","_"),"”","_"),CHAR(9),"_"),CHAR(160),"_"))</f>
        <v/>
      </c>
      <c r="AE26" s="4">
        <f>IF(AD26="","",SUBSTITUTE(SUBSTITUTE(SUBSTITUTE(SUBSTITUTE(SUBSTITUTE(SUBSTITUTE(SUBSTITUTE(SUBSTITUTE(AD26,"__","_"),"__","_"),"__","_"),"__","_"),"__","_"),"__","_"),"__","_"),"__","_"))</f>
        <v/>
      </c>
      <c r="AF26" s="4">
        <f>IF(OR(AE26="",AE26="_"),"",IF(LEFT(AE26,1)="_",IF(RIGHT(AE26,1)="_",MID(AE26,2,LEN(AE26)-2),RIGHT(AE26,LEN(AE26)-1)),IF(RIGHT(AE26,1)="_",LEFT(AE26,LEN(AE26)-1),AE26)))</f>
        <v/>
      </c>
      <c r="AG26" s="4">
        <f>IF(OR(LOWER(TRIM(P26))="",LOWER(TRIM(P26))="nan",LOWER(TRIM(P26))="none",LOWER(TRIM(P26))="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26))," ","_"),"!","_"),"#","_"),"$","_"),"%","_"),"&amp;","_"),"'","_"),"(","_"),")","_"),"*","_"),"+","_"),",","_"),"-","_"),".","_"),"/","_"),":","_"),";","_"),"&lt;","_"),"=","_"),"&gt;","_"),"?","_"),"@","_"),"[","_"),"\","_"),"]","_"),"^","_"),"`","_"),"{","_"),"|","_"),"}","_"),"~","_"),"–","_"),"—","_"),"’","_"),"“","_"),"”","_"),CHAR(9),"_"),CHAR(160),"_"))</f>
        <v/>
      </c>
      <c r="AH26" s="4">
        <f>IF(AG26="","",SUBSTITUTE(SUBSTITUTE(SUBSTITUTE(SUBSTITUTE(SUBSTITUTE(SUBSTITUTE(SUBSTITUTE(SUBSTITUTE(AG26,"__","_"),"__","_"),"__","_"),"__","_"),"__","_"),"__","_"),"__","_"),"__","_"))</f>
        <v/>
      </c>
      <c r="AI26" s="4">
        <f>IF(OR(AH26="",AH26="_"),"",IF(LEFT(AH26,1)="_",IF(RIGHT(AH26,1)="_",MID(AH26,2,LEN(AH26)-2),RIGHT(AH26,LEN(AH26)-1)),IF(RIGHT(AH26,1)="_",LEFT(AH26,LEN(AH26)-1),AH26)))</f>
        <v/>
      </c>
    </row>
    <row r="27">
      <c r="A27" s="4" t="inlineStr"/>
      <c r="B27" s="4" t="inlineStr"/>
      <c r="C27" s="4" t="inlineStr"/>
      <c r="D27" s="4" t="inlineStr"/>
      <c r="E27" s="4" t="inlineStr"/>
      <c r="F27" s="4" t="inlineStr"/>
      <c r="G27" s="4" t="inlineStr"/>
      <c r="H27" s="4" t="inlineStr"/>
      <c r="I27" s="4" t="inlineStr"/>
      <c r="J27" s="4" t="inlineStr"/>
      <c r="K27" s="4" t="inlineStr"/>
      <c r="L27" s="4">
        <f>IF(AC27&lt;&gt;"",AC27,"")&amp;IF(AF27&lt;&gt;"",IF(AC27&lt;&gt;"","_"&amp;AF27,AF27),"")&amp;IF(AI27&lt;&gt;"",IF(AC27&lt;&gt;"","_"&amp;AI27,AI27),"")</f>
        <v/>
      </c>
      <c r="M27" s="4">
        <f>IF(TRIM(K27)&lt;&gt;"",TRIM(K27),L27)</f>
        <v/>
      </c>
      <c r="N27" s="4">
        <f>IF(OR(A27="",B27="",C27="",D27="",F27="",G27="",H27="",I27=""),"Missing required field — fill in channel, market, activity_ownership, intended_model_role, model_input_measure, economic_treatment, planning_eligibility, and source.",IF(L27="","Missing required field — channel must be filled in to build an ID.",IF(COUNTIF($M$8:$M$31,M27)&gt;1,"Duplicate activity ID — two rows currently build the same activity_id; add the next meaningful field, not a random number.",IF(AND(J27&lt;&gt;"",J27&lt;&gt;M27),"Existing activity_id differs from the built ID — review before using.","Ready"))))</f>
        <v/>
      </c>
      <c r="O27" s="4" t="inlineStr"/>
      <c r="P27" s="4" t="inlineStr"/>
      <c r="Q27" s="4" t="inlineStr"/>
      <c r="R27" s="4" t="inlineStr"/>
      <c r="S27" s="4" t="inlineStr"/>
      <c r="T27" s="4" t="inlineStr"/>
      <c r="U27" s="4" t="inlineStr"/>
      <c r="V27" s="4" t="inlineStr"/>
      <c r="W27" s="4" t="inlineStr"/>
      <c r="X27" s="4" t="inlineStr"/>
      <c r="Y27" s="4" t="n"/>
      <c r="Z27" s="4" t="n"/>
      <c r="AA27" s="4">
        <f>IF(OR(LOWER(TRIM(A27))="",LOWER(TRIM(A27))="nan",LOWER(TRIM(A27))="none",LOWER(TRIM(A27))="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27))," ","_"),"!","_"),"#","_"),"$","_"),"%","_"),"&amp;","_"),"'","_"),"(","_"),")","_"),"*","_"),"+","_"),",","_"),"-","_"),".","_"),"/","_"),":","_"),";","_"),"&lt;","_"),"=","_"),"&gt;","_"),"?","_"),"@","_"),"[","_"),"\","_"),"]","_"),"^","_"),"`","_"),"{","_"),"|","_"),"}","_"),"~","_"),"–","_"),"—","_"),"’","_"),"“","_"),"”","_"),CHAR(9),"_"),CHAR(160),"_"))</f>
        <v/>
      </c>
      <c r="AB27" s="4">
        <f>IF(AA27="","",SUBSTITUTE(SUBSTITUTE(SUBSTITUTE(SUBSTITUTE(SUBSTITUTE(SUBSTITUTE(SUBSTITUTE(SUBSTITUTE(AA27,"__","_"),"__","_"),"__","_"),"__","_"),"__","_"),"__","_"),"__","_"),"__","_"))</f>
        <v/>
      </c>
      <c r="AC27" s="4">
        <f>IF(OR(AB27="",AB27="_"),"",IF(LEFT(AB27,1)="_",IF(RIGHT(AB27,1)="_",MID(AB27,2,LEN(AB27)-2),RIGHT(AB27,LEN(AB27)-1)),IF(RIGHT(AB27,1)="_",LEFT(AB27,LEN(AB27)-1),AB27)))</f>
        <v/>
      </c>
      <c r="AD27" s="4">
        <f>IF(OR(LOWER(TRIM(O27))="",LOWER(TRIM(O27))="nan",LOWER(TRIM(O27))="none",LOWER(TRIM(O27))="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27))," ","_"),"!","_"),"#","_"),"$","_"),"%","_"),"&amp;","_"),"'","_"),"(","_"),")","_"),"*","_"),"+","_"),",","_"),"-","_"),".","_"),"/","_"),":","_"),";","_"),"&lt;","_"),"=","_"),"&gt;","_"),"?","_"),"@","_"),"[","_"),"\","_"),"]","_"),"^","_"),"`","_"),"{","_"),"|","_"),"}","_"),"~","_"),"–","_"),"—","_"),"’","_"),"“","_"),"”","_"),CHAR(9),"_"),CHAR(160),"_"))</f>
        <v/>
      </c>
      <c r="AE27" s="4">
        <f>IF(AD27="","",SUBSTITUTE(SUBSTITUTE(SUBSTITUTE(SUBSTITUTE(SUBSTITUTE(SUBSTITUTE(SUBSTITUTE(SUBSTITUTE(AD27,"__","_"),"__","_"),"__","_"),"__","_"),"__","_"),"__","_"),"__","_"),"__","_"))</f>
        <v/>
      </c>
      <c r="AF27" s="4">
        <f>IF(OR(AE27="",AE27="_"),"",IF(LEFT(AE27,1)="_",IF(RIGHT(AE27,1)="_",MID(AE27,2,LEN(AE27)-2),RIGHT(AE27,LEN(AE27)-1)),IF(RIGHT(AE27,1)="_",LEFT(AE27,LEN(AE27)-1),AE27)))</f>
        <v/>
      </c>
      <c r="AG27" s="4">
        <f>IF(OR(LOWER(TRIM(P27))="",LOWER(TRIM(P27))="nan",LOWER(TRIM(P27))="none",LOWER(TRIM(P27))="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27))," ","_"),"!","_"),"#","_"),"$","_"),"%","_"),"&amp;","_"),"'","_"),"(","_"),")","_"),"*","_"),"+","_"),",","_"),"-","_"),".","_"),"/","_"),":","_"),";","_"),"&lt;","_"),"=","_"),"&gt;","_"),"?","_"),"@","_"),"[","_"),"\","_"),"]","_"),"^","_"),"`","_"),"{","_"),"|","_"),"}","_"),"~","_"),"–","_"),"—","_"),"’","_"),"“","_"),"”","_"),CHAR(9),"_"),CHAR(160),"_"))</f>
        <v/>
      </c>
      <c r="AH27" s="4">
        <f>IF(AG27="","",SUBSTITUTE(SUBSTITUTE(SUBSTITUTE(SUBSTITUTE(SUBSTITUTE(SUBSTITUTE(SUBSTITUTE(SUBSTITUTE(AG27,"__","_"),"__","_"),"__","_"),"__","_"),"__","_"),"__","_"),"__","_"),"__","_"))</f>
        <v/>
      </c>
      <c r="AI27" s="4">
        <f>IF(OR(AH27="",AH27="_"),"",IF(LEFT(AH27,1)="_",IF(RIGHT(AH27,1)="_",MID(AH27,2,LEN(AH27)-2),RIGHT(AH27,LEN(AH27)-1)),IF(RIGHT(AH27,1)="_",LEFT(AH27,LEN(AH27)-1),AH27)))</f>
        <v/>
      </c>
    </row>
    <row r="28">
      <c r="A28" s="4" t="inlineStr"/>
      <c r="B28" s="4" t="inlineStr"/>
      <c r="C28" s="4" t="inlineStr"/>
      <c r="D28" s="4" t="inlineStr"/>
      <c r="E28" s="4" t="inlineStr"/>
      <c r="F28" s="4" t="inlineStr"/>
      <c r="G28" s="4" t="inlineStr"/>
      <c r="H28" s="4" t="inlineStr"/>
      <c r="I28" s="4" t="inlineStr"/>
      <c r="J28" s="4" t="inlineStr"/>
      <c r="K28" s="4" t="inlineStr"/>
      <c r="L28" s="4">
        <f>IF(AC28&lt;&gt;"",AC28,"")&amp;IF(AF28&lt;&gt;"",IF(AC28&lt;&gt;"","_"&amp;AF28,AF28),"")&amp;IF(AI28&lt;&gt;"",IF(AC28&lt;&gt;"","_"&amp;AI28,AI28),"")</f>
        <v/>
      </c>
      <c r="M28" s="4">
        <f>IF(TRIM(K28)&lt;&gt;"",TRIM(K28),L28)</f>
        <v/>
      </c>
      <c r="N28" s="4">
        <f>IF(OR(A28="",B28="",C28="",D28="",F28="",G28="",H28="",I28=""),"Missing required field — fill in channel, market, activity_ownership, intended_model_role, model_input_measure, economic_treatment, planning_eligibility, and source.",IF(L28="","Missing required field — channel must be filled in to build an ID.",IF(COUNTIF($M$8:$M$31,M28)&gt;1,"Duplicate activity ID — two rows currently build the same activity_id; add the next meaningful field, not a random number.",IF(AND(J28&lt;&gt;"",J28&lt;&gt;M28),"Existing activity_id differs from the built ID — review before using.","Ready"))))</f>
        <v/>
      </c>
      <c r="O28" s="4" t="inlineStr"/>
      <c r="P28" s="4" t="inlineStr"/>
      <c r="Q28" s="4" t="inlineStr"/>
      <c r="R28" s="4" t="inlineStr"/>
      <c r="S28" s="4" t="inlineStr"/>
      <c r="T28" s="4" t="inlineStr"/>
      <c r="U28" s="4" t="inlineStr"/>
      <c r="V28" s="4" t="inlineStr"/>
      <c r="W28" s="4" t="inlineStr"/>
      <c r="X28" s="4" t="inlineStr"/>
      <c r="Y28" s="4" t="n"/>
      <c r="Z28" s="4" t="n"/>
      <c r="AA28" s="4">
        <f>IF(OR(LOWER(TRIM(A28))="",LOWER(TRIM(A28))="nan",LOWER(TRIM(A28))="none",LOWER(TRIM(A28)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28))," ","_"),"!","_"),"#","_"),"$","_"),"%","_"),"&amp;","_"),"'","_"),"(","_"),")","_"),"*","_"),"+","_"),",","_"),"-","_"),".","_"),"/","_"),":","_"),";","_"),"&lt;","_"),"=","_"),"&gt;","_"),"?","_"),"@","_"),"[","_"),"\","_"),"]","_"),"^","_"),"`","_"),"{","_"),"|","_"),"}","_"),"~","_"),"–","_"),"—","_"),"’","_"),"“","_"),"”","_"),CHAR(9),"_"),CHAR(160),"_"))</f>
        <v/>
      </c>
      <c r="AB28" s="4">
        <f>IF(AA28="","",SUBSTITUTE(SUBSTITUTE(SUBSTITUTE(SUBSTITUTE(SUBSTITUTE(SUBSTITUTE(SUBSTITUTE(SUBSTITUTE(AA28,"__","_"),"__","_"),"__","_"),"__","_"),"__","_"),"__","_"),"__","_"),"__","_"))</f>
        <v/>
      </c>
      <c r="AC28" s="4">
        <f>IF(OR(AB28="",AB28="_"),"",IF(LEFT(AB28,1)="_",IF(RIGHT(AB28,1)="_",MID(AB28,2,LEN(AB28)-2),RIGHT(AB28,LEN(AB28)-1)),IF(RIGHT(AB28,1)="_",LEFT(AB28,LEN(AB28)-1),AB28)))</f>
        <v/>
      </c>
      <c r="AD28" s="4">
        <f>IF(OR(LOWER(TRIM(O28))="",LOWER(TRIM(O28))="nan",LOWER(TRIM(O28))="none",LOWER(TRIM(O28)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28))," ","_"),"!","_"),"#","_"),"$","_"),"%","_"),"&amp;","_"),"'","_"),"(","_"),")","_"),"*","_"),"+","_"),",","_"),"-","_"),".","_"),"/","_"),":","_"),";","_"),"&lt;","_"),"=","_"),"&gt;","_"),"?","_"),"@","_"),"[","_"),"\","_"),"]","_"),"^","_"),"`","_"),"{","_"),"|","_"),"}","_"),"~","_"),"–","_"),"—","_"),"’","_"),"“","_"),"”","_"),CHAR(9),"_"),CHAR(160),"_"))</f>
        <v/>
      </c>
      <c r="AE28" s="4">
        <f>IF(AD28="","",SUBSTITUTE(SUBSTITUTE(SUBSTITUTE(SUBSTITUTE(SUBSTITUTE(SUBSTITUTE(SUBSTITUTE(SUBSTITUTE(AD28,"__","_"),"__","_"),"__","_"),"__","_"),"__","_"),"__","_"),"__","_"),"__","_"))</f>
        <v/>
      </c>
      <c r="AF28" s="4">
        <f>IF(OR(AE28="",AE28="_"),"",IF(LEFT(AE28,1)="_",IF(RIGHT(AE28,1)="_",MID(AE28,2,LEN(AE28)-2),RIGHT(AE28,LEN(AE28)-1)),IF(RIGHT(AE28,1)="_",LEFT(AE28,LEN(AE28)-1),AE28)))</f>
        <v/>
      </c>
      <c r="AG28" s="4">
        <f>IF(OR(LOWER(TRIM(P28))="",LOWER(TRIM(P28))="nan",LOWER(TRIM(P28))="none",LOWER(TRIM(P28)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28))," ","_"),"!","_"),"#","_"),"$","_"),"%","_"),"&amp;","_"),"'","_"),"(","_"),")","_"),"*","_"),"+","_"),",","_"),"-","_"),".","_"),"/","_"),":","_"),";","_"),"&lt;","_"),"=","_"),"&gt;","_"),"?","_"),"@","_"),"[","_"),"\","_"),"]","_"),"^","_"),"`","_"),"{","_"),"|","_"),"}","_"),"~","_"),"–","_"),"—","_"),"’","_"),"“","_"),"”","_"),CHAR(9),"_"),CHAR(160),"_"))</f>
        <v/>
      </c>
      <c r="AH28" s="4">
        <f>IF(AG28="","",SUBSTITUTE(SUBSTITUTE(SUBSTITUTE(SUBSTITUTE(SUBSTITUTE(SUBSTITUTE(SUBSTITUTE(SUBSTITUTE(AG28,"__","_"),"__","_"),"__","_"),"__","_"),"__","_"),"__","_"),"__","_"),"__","_"))</f>
        <v/>
      </c>
      <c r="AI28" s="4">
        <f>IF(OR(AH28="",AH28="_"),"",IF(LEFT(AH28,1)="_",IF(RIGHT(AH28,1)="_",MID(AH28,2,LEN(AH28)-2),RIGHT(AH28,LEN(AH28)-1)),IF(RIGHT(AH28,1)="_",LEFT(AH28,LEN(AH28)-1),AH28)))</f>
        <v/>
      </c>
    </row>
    <row r="29">
      <c r="A29" s="4" t="inlineStr"/>
      <c r="B29" s="4" t="inlineStr"/>
      <c r="C29" s="4" t="inlineStr"/>
      <c r="D29" s="4" t="inlineStr"/>
      <c r="E29" s="4" t="inlineStr"/>
      <c r="F29" s="4" t="inlineStr"/>
      <c r="G29" s="4" t="inlineStr"/>
      <c r="H29" s="4" t="inlineStr"/>
      <c r="I29" s="4" t="inlineStr"/>
      <c r="J29" s="4" t="inlineStr"/>
      <c r="K29" s="4" t="inlineStr"/>
      <c r="L29" s="4">
        <f>IF(AC29&lt;&gt;"",AC29,"")&amp;IF(AF29&lt;&gt;"",IF(AC29&lt;&gt;"","_"&amp;AF29,AF29),"")&amp;IF(AI29&lt;&gt;"",IF(AC29&lt;&gt;"","_"&amp;AI29,AI29),"")</f>
        <v/>
      </c>
      <c r="M29" s="4">
        <f>IF(TRIM(K29)&lt;&gt;"",TRIM(K29),L29)</f>
        <v/>
      </c>
      <c r="N29" s="4">
        <f>IF(OR(A29="",B29="",C29="",D29="",F29="",G29="",H29="",I29=""),"Missing required field — fill in channel, market, activity_ownership, intended_model_role, model_input_measure, economic_treatment, planning_eligibility, and source.",IF(L29="","Missing required field — channel must be filled in to build an ID.",IF(COUNTIF($M$8:$M$31,M29)&gt;1,"Duplicate activity ID — two rows currently build the same activity_id; add the next meaningful field, not a random number.",IF(AND(J29&lt;&gt;"",J29&lt;&gt;M29),"Existing activity_id differs from the built ID — review before using.","Ready"))))</f>
        <v/>
      </c>
      <c r="O29" s="4" t="inlineStr"/>
      <c r="P29" s="4" t="inlineStr"/>
      <c r="Q29" s="4" t="inlineStr"/>
      <c r="R29" s="4" t="inlineStr"/>
      <c r="S29" s="4" t="inlineStr"/>
      <c r="T29" s="4" t="inlineStr"/>
      <c r="U29" s="4" t="inlineStr"/>
      <c r="V29" s="4" t="inlineStr"/>
      <c r="W29" s="4" t="inlineStr"/>
      <c r="X29" s="4" t="inlineStr"/>
      <c r="Y29" s="4" t="n"/>
      <c r="Z29" s="4" t="n"/>
      <c r="AA29" s="4">
        <f>IF(OR(LOWER(TRIM(A29))="",LOWER(TRIM(A29))="nan",LOWER(TRIM(A29))="none",LOWER(TRIM(A29)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29))," ","_"),"!","_"),"#","_"),"$","_"),"%","_"),"&amp;","_"),"'","_"),"(","_"),")","_"),"*","_"),"+","_"),",","_"),"-","_"),".","_"),"/","_"),":","_"),";","_"),"&lt;","_"),"=","_"),"&gt;","_"),"?","_"),"@","_"),"[","_"),"\","_"),"]","_"),"^","_"),"`","_"),"{","_"),"|","_"),"}","_"),"~","_"),"–","_"),"—","_"),"’","_"),"“","_"),"”","_"),CHAR(9),"_"),CHAR(160),"_"))</f>
        <v/>
      </c>
      <c r="AB29" s="4">
        <f>IF(AA29="","",SUBSTITUTE(SUBSTITUTE(SUBSTITUTE(SUBSTITUTE(SUBSTITUTE(SUBSTITUTE(SUBSTITUTE(SUBSTITUTE(AA29,"__","_"),"__","_"),"__","_"),"__","_"),"__","_"),"__","_"),"__","_"),"__","_"))</f>
        <v/>
      </c>
      <c r="AC29" s="4">
        <f>IF(OR(AB29="",AB29="_"),"",IF(LEFT(AB29,1)="_",IF(RIGHT(AB29,1)="_",MID(AB29,2,LEN(AB29)-2),RIGHT(AB29,LEN(AB29)-1)),IF(RIGHT(AB29,1)="_",LEFT(AB29,LEN(AB29)-1),AB29)))</f>
        <v/>
      </c>
      <c r="AD29" s="4">
        <f>IF(OR(LOWER(TRIM(O29))="",LOWER(TRIM(O29))="nan",LOWER(TRIM(O29))="none",LOWER(TRIM(O29)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29))," ","_"),"!","_"),"#","_"),"$","_"),"%","_"),"&amp;","_"),"'","_"),"(","_"),")","_"),"*","_"),"+","_"),",","_"),"-","_"),".","_"),"/","_"),":","_"),";","_"),"&lt;","_"),"=","_"),"&gt;","_"),"?","_"),"@","_"),"[","_"),"\","_"),"]","_"),"^","_"),"`","_"),"{","_"),"|","_"),"}","_"),"~","_"),"–","_"),"—","_"),"’","_"),"“","_"),"”","_"),CHAR(9),"_"),CHAR(160),"_"))</f>
        <v/>
      </c>
      <c r="AE29" s="4">
        <f>IF(AD29="","",SUBSTITUTE(SUBSTITUTE(SUBSTITUTE(SUBSTITUTE(SUBSTITUTE(SUBSTITUTE(SUBSTITUTE(SUBSTITUTE(AD29,"__","_"),"__","_"),"__","_"),"__","_"),"__","_"),"__","_"),"__","_"),"__","_"))</f>
        <v/>
      </c>
      <c r="AF29" s="4">
        <f>IF(OR(AE29="",AE29="_"),"",IF(LEFT(AE29,1)="_",IF(RIGHT(AE29,1)="_",MID(AE29,2,LEN(AE29)-2),RIGHT(AE29,LEN(AE29)-1)),IF(RIGHT(AE29,1)="_",LEFT(AE29,LEN(AE29)-1),AE29)))</f>
        <v/>
      </c>
      <c r="AG29" s="4">
        <f>IF(OR(LOWER(TRIM(P29))="",LOWER(TRIM(P29))="nan",LOWER(TRIM(P29))="none",LOWER(TRIM(P29)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29))," ","_"),"!","_"),"#","_"),"$","_"),"%","_"),"&amp;","_"),"'","_"),"(","_"),")","_"),"*","_"),"+","_"),",","_"),"-","_"),".","_"),"/","_"),":","_"),";","_"),"&lt;","_"),"=","_"),"&gt;","_"),"?","_"),"@","_"),"[","_"),"\","_"),"]","_"),"^","_"),"`","_"),"{","_"),"|","_"),"}","_"),"~","_"),"–","_"),"—","_"),"’","_"),"“","_"),"”","_"),CHAR(9),"_"),CHAR(160),"_"))</f>
        <v/>
      </c>
      <c r="AH29" s="4">
        <f>IF(AG29="","",SUBSTITUTE(SUBSTITUTE(SUBSTITUTE(SUBSTITUTE(SUBSTITUTE(SUBSTITUTE(SUBSTITUTE(SUBSTITUTE(AG29,"__","_"),"__","_"),"__","_"),"__","_"),"__","_"),"__","_"),"__","_"),"__","_"))</f>
        <v/>
      </c>
      <c r="AI29" s="4">
        <f>IF(OR(AH29="",AH29="_"),"",IF(LEFT(AH29,1)="_",IF(RIGHT(AH29,1)="_",MID(AH29,2,LEN(AH29)-2),RIGHT(AH29,LEN(AH29)-1)),IF(RIGHT(AH29,1)="_",LEFT(AH29,LEN(AH29)-1),AH29)))</f>
        <v/>
      </c>
    </row>
    <row r="30">
      <c r="A30" s="4" t="inlineStr"/>
      <c r="B30" s="4" t="inlineStr"/>
      <c r="C30" s="4" t="inlineStr"/>
      <c r="D30" s="4" t="inlineStr"/>
      <c r="E30" s="4" t="inlineStr"/>
      <c r="F30" s="4" t="inlineStr"/>
      <c r="G30" s="4" t="inlineStr"/>
      <c r="H30" s="4" t="inlineStr"/>
      <c r="I30" s="4" t="inlineStr"/>
      <c r="J30" s="4" t="inlineStr"/>
      <c r="K30" s="4" t="inlineStr"/>
      <c r="L30" s="4">
        <f>IF(AC30&lt;&gt;"",AC30,"")&amp;IF(AF30&lt;&gt;"",IF(AC30&lt;&gt;"","_"&amp;AF30,AF30),"")&amp;IF(AI30&lt;&gt;"",IF(AC30&lt;&gt;"","_"&amp;AI30,AI30),"")</f>
        <v/>
      </c>
      <c r="M30" s="4">
        <f>IF(TRIM(K30)&lt;&gt;"",TRIM(K30),L30)</f>
        <v/>
      </c>
      <c r="N30" s="4">
        <f>IF(OR(A30="",B30="",C30="",D30="",F30="",G30="",H30="",I30=""),"Missing required field — fill in channel, market, activity_ownership, intended_model_role, model_input_measure, economic_treatment, planning_eligibility, and source.",IF(L30="","Missing required field — channel must be filled in to build an ID.",IF(COUNTIF($M$8:$M$31,M30)&gt;1,"Duplicate activity ID — two rows currently build the same activity_id; add the next meaningful field, not a random number.",IF(AND(J30&lt;&gt;"",J30&lt;&gt;M30),"Existing activity_id differs from the built ID — review before using.","Ready"))))</f>
        <v/>
      </c>
      <c r="O30" s="4" t="inlineStr"/>
      <c r="P30" s="4" t="inlineStr"/>
      <c r="Q30" s="4" t="inlineStr"/>
      <c r="R30" s="4" t="inlineStr"/>
      <c r="S30" s="4" t="inlineStr"/>
      <c r="T30" s="4" t="inlineStr"/>
      <c r="U30" s="4" t="inlineStr"/>
      <c r="V30" s="4" t="inlineStr"/>
      <c r="W30" s="4" t="inlineStr"/>
      <c r="X30" s="4" t="inlineStr"/>
      <c r="Y30" s="4" t="n"/>
      <c r="Z30" s="4" t="n"/>
      <c r="AA30" s="4">
        <f>IF(OR(LOWER(TRIM(A30))="",LOWER(TRIM(A30))="nan",LOWER(TRIM(A30))="none",LOWER(TRIM(A30)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30))," ","_"),"!","_"),"#","_"),"$","_"),"%","_"),"&amp;","_"),"'","_"),"(","_"),")","_"),"*","_"),"+","_"),",","_"),"-","_"),".","_"),"/","_"),":","_"),";","_"),"&lt;","_"),"=","_"),"&gt;","_"),"?","_"),"@","_"),"[","_"),"\","_"),"]","_"),"^","_"),"`","_"),"{","_"),"|","_"),"}","_"),"~","_"),"–","_"),"—","_"),"’","_"),"“","_"),"”","_"),CHAR(9),"_"),CHAR(160),"_"))</f>
        <v/>
      </c>
      <c r="AB30" s="4">
        <f>IF(AA30="","",SUBSTITUTE(SUBSTITUTE(SUBSTITUTE(SUBSTITUTE(SUBSTITUTE(SUBSTITUTE(SUBSTITUTE(SUBSTITUTE(AA30,"__","_"),"__","_"),"__","_"),"__","_"),"__","_"),"__","_"),"__","_"),"__","_"))</f>
        <v/>
      </c>
      <c r="AC30" s="4">
        <f>IF(OR(AB30="",AB30="_"),"",IF(LEFT(AB30,1)="_",IF(RIGHT(AB30,1)="_",MID(AB30,2,LEN(AB30)-2),RIGHT(AB30,LEN(AB30)-1)),IF(RIGHT(AB30,1)="_",LEFT(AB30,LEN(AB30)-1),AB30)))</f>
        <v/>
      </c>
      <c r="AD30" s="4">
        <f>IF(OR(LOWER(TRIM(O30))="",LOWER(TRIM(O30))="nan",LOWER(TRIM(O30))="none",LOWER(TRIM(O30)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30))," ","_"),"!","_"),"#","_"),"$","_"),"%","_"),"&amp;","_"),"'","_"),"(","_"),")","_"),"*","_"),"+","_"),",","_"),"-","_"),".","_"),"/","_"),":","_"),";","_"),"&lt;","_"),"=","_"),"&gt;","_"),"?","_"),"@","_"),"[","_"),"\","_"),"]","_"),"^","_"),"`","_"),"{","_"),"|","_"),"}","_"),"~","_"),"–","_"),"—","_"),"’","_"),"“","_"),"”","_"),CHAR(9),"_"),CHAR(160),"_"))</f>
        <v/>
      </c>
      <c r="AE30" s="4">
        <f>IF(AD30="","",SUBSTITUTE(SUBSTITUTE(SUBSTITUTE(SUBSTITUTE(SUBSTITUTE(SUBSTITUTE(SUBSTITUTE(SUBSTITUTE(AD30,"__","_"),"__","_"),"__","_"),"__","_"),"__","_"),"__","_"),"__","_"),"__","_"))</f>
        <v/>
      </c>
      <c r="AF30" s="4">
        <f>IF(OR(AE30="",AE30="_"),"",IF(LEFT(AE30,1)="_",IF(RIGHT(AE30,1)="_",MID(AE30,2,LEN(AE30)-2),RIGHT(AE30,LEN(AE30)-1)),IF(RIGHT(AE30,1)="_",LEFT(AE30,LEN(AE30)-1),AE30)))</f>
        <v/>
      </c>
      <c r="AG30" s="4">
        <f>IF(OR(LOWER(TRIM(P30))="",LOWER(TRIM(P30))="nan",LOWER(TRIM(P30))="none",LOWER(TRIM(P30)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30))," ","_"),"!","_"),"#","_"),"$","_"),"%","_"),"&amp;","_"),"'","_"),"(","_"),")","_"),"*","_"),"+","_"),",","_"),"-","_"),".","_"),"/","_"),":","_"),";","_"),"&lt;","_"),"=","_"),"&gt;","_"),"?","_"),"@","_"),"[","_"),"\","_"),"]","_"),"^","_"),"`","_"),"{","_"),"|","_"),"}","_"),"~","_"),"–","_"),"—","_"),"’","_"),"“","_"),"”","_"),CHAR(9),"_"),CHAR(160),"_"))</f>
        <v/>
      </c>
      <c r="AH30" s="4">
        <f>IF(AG30="","",SUBSTITUTE(SUBSTITUTE(SUBSTITUTE(SUBSTITUTE(SUBSTITUTE(SUBSTITUTE(SUBSTITUTE(SUBSTITUTE(AG30,"__","_"),"__","_"),"__","_"),"__","_"),"__","_"),"__","_"),"__","_"),"__","_"))</f>
        <v/>
      </c>
      <c r="AI30" s="4">
        <f>IF(OR(AH30="",AH30="_"),"",IF(LEFT(AH30,1)="_",IF(RIGHT(AH30,1)="_",MID(AH30,2,LEN(AH30)-2),RIGHT(AH30,LEN(AH30)-1)),IF(RIGHT(AH30,1)="_",LEFT(AH30,LEN(AH30)-1),AH30)))</f>
        <v/>
      </c>
    </row>
    <row r="31">
      <c r="A31" s="4" t="inlineStr"/>
      <c r="B31" s="4" t="inlineStr"/>
      <c r="C31" s="4" t="inlineStr"/>
      <c r="D31" s="4" t="inlineStr"/>
      <c r="E31" s="4" t="inlineStr"/>
      <c r="F31" s="4" t="inlineStr"/>
      <c r="G31" s="4" t="inlineStr"/>
      <c r="H31" s="4" t="inlineStr"/>
      <c r="I31" s="4" t="inlineStr"/>
      <c r="J31" s="4" t="inlineStr"/>
      <c r="K31" s="4" t="inlineStr"/>
      <c r="L31" s="4">
        <f>IF(AC31&lt;&gt;"",AC31,"")&amp;IF(AF31&lt;&gt;"",IF(AC31&lt;&gt;"","_"&amp;AF31,AF31),"")&amp;IF(AI31&lt;&gt;"",IF(AC31&lt;&gt;"","_"&amp;AI31,AI31),"")</f>
        <v/>
      </c>
      <c r="M31" s="4">
        <f>IF(TRIM(K31)&lt;&gt;"",TRIM(K31),L31)</f>
        <v/>
      </c>
      <c r="N31" s="4">
        <f>IF(OR(A31="",B31="",C31="",D31="",F31="",G31="",H31="",I31=""),"Missing required field — fill in channel, market, activity_ownership, intended_model_role, model_input_measure, economic_treatment, planning_eligibility, and source.",IF(L31="","Missing required field — channel must be filled in to build an ID.",IF(COUNTIF($M$8:$M$31,M31)&gt;1,"Duplicate activity ID — two rows currently build the same activity_id; add the next meaningful field, not a random number.",IF(AND(J31&lt;&gt;"",J31&lt;&gt;M31),"Existing activity_id differs from the built ID — review before using.","Ready"))))</f>
        <v/>
      </c>
      <c r="O31" s="4" t="inlineStr"/>
      <c r="P31" s="4" t="inlineStr"/>
      <c r="Q31" s="4" t="inlineStr"/>
      <c r="R31" s="4" t="inlineStr"/>
      <c r="S31" s="4" t="inlineStr"/>
      <c r="T31" s="4" t="inlineStr"/>
      <c r="U31" s="4" t="inlineStr"/>
      <c r="V31" s="4" t="inlineStr"/>
      <c r="W31" s="4" t="inlineStr"/>
      <c r="X31" s="4" t="inlineStr"/>
      <c r="Y31" s="4" t="n"/>
      <c r="Z31" s="4" t="n"/>
      <c r="AA31" s="4">
        <f>IF(OR(LOWER(TRIM(A31))="",LOWER(TRIM(A31))="nan",LOWER(TRIM(A31))="none",LOWER(TRIM(A31)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31))," ","_"),"!","_"),"#","_"),"$","_"),"%","_"),"&amp;","_"),"'","_"),"(","_"),")","_"),"*","_"),"+","_"),",","_"),"-","_"),".","_"),"/","_"),":","_"),";","_"),"&lt;","_"),"=","_"),"&gt;","_"),"?","_"),"@","_"),"[","_"),"\","_"),"]","_"),"^","_"),"`","_"),"{","_"),"|","_"),"}","_"),"~","_"),"–","_"),"—","_"),"’","_"),"“","_"),"”","_"),CHAR(9),"_"),CHAR(160),"_"))</f>
        <v/>
      </c>
      <c r="AB31" s="4">
        <f>IF(AA31="","",SUBSTITUTE(SUBSTITUTE(SUBSTITUTE(SUBSTITUTE(SUBSTITUTE(SUBSTITUTE(SUBSTITUTE(SUBSTITUTE(AA31,"__","_"),"__","_"),"__","_"),"__","_"),"__","_"),"__","_"),"__","_"),"__","_"))</f>
        <v/>
      </c>
      <c r="AC31" s="4">
        <f>IF(OR(AB31="",AB31="_"),"",IF(LEFT(AB31,1)="_",IF(RIGHT(AB31,1)="_",MID(AB31,2,LEN(AB31)-2),RIGHT(AB31,LEN(AB31)-1)),IF(RIGHT(AB31,1)="_",LEFT(AB31,LEN(AB31)-1),AB31)))</f>
        <v/>
      </c>
      <c r="AD31" s="4">
        <f>IF(OR(LOWER(TRIM(O31))="",LOWER(TRIM(O31))="nan",LOWER(TRIM(O31))="none",LOWER(TRIM(O31)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O31))," ","_"),"!","_"),"#","_"),"$","_"),"%","_"),"&amp;","_"),"'","_"),"(","_"),")","_"),"*","_"),"+","_"),",","_"),"-","_"),".","_"),"/","_"),":","_"),";","_"),"&lt;","_"),"=","_"),"&gt;","_"),"?","_"),"@","_"),"[","_"),"\","_"),"]","_"),"^","_"),"`","_"),"{","_"),"|","_"),"}","_"),"~","_"),"–","_"),"—","_"),"’","_"),"“","_"),"”","_"),CHAR(9),"_"),CHAR(160),"_"))</f>
        <v/>
      </c>
      <c r="AE31" s="4">
        <f>IF(AD31="","",SUBSTITUTE(SUBSTITUTE(SUBSTITUTE(SUBSTITUTE(SUBSTITUTE(SUBSTITUTE(SUBSTITUTE(SUBSTITUTE(AD31,"__","_"),"__","_"),"__","_"),"__","_"),"__","_"),"__","_"),"__","_"),"__","_"))</f>
        <v/>
      </c>
      <c r="AF31" s="4">
        <f>IF(OR(AE31="",AE31="_"),"",IF(LEFT(AE31,1)="_",IF(RIGHT(AE31,1)="_",MID(AE31,2,LEN(AE31)-2),RIGHT(AE31,LEN(AE31)-1)),IF(RIGHT(AE31,1)="_",LEFT(AE31,LEN(AE31)-1),AE31)))</f>
        <v/>
      </c>
      <c r="AG31" s="4">
        <f>IF(OR(LOWER(TRIM(P31))="",LOWER(TRIM(P31))="nan",LOWER(TRIM(P31))="none",LOWER(TRIM(P31)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P31))," ","_"),"!","_"),"#","_"),"$","_"),"%","_"),"&amp;","_"),"'","_"),"(","_"),")","_"),"*","_"),"+","_"),",","_"),"-","_"),".","_"),"/","_"),":","_"),";","_"),"&lt;","_"),"=","_"),"&gt;","_"),"?","_"),"@","_"),"[","_"),"\","_"),"]","_"),"^","_"),"`","_"),"{","_"),"|","_"),"}","_"),"~","_"),"–","_"),"—","_"),"’","_"),"“","_"),"”","_"),CHAR(9),"_"),CHAR(160),"_"))</f>
        <v/>
      </c>
      <c r="AH31" s="4">
        <f>IF(AG31="","",SUBSTITUTE(SUBSTITUTE(SUBSTITUTE(SUBSTITUTE(SUBSTITUTE(SUBSTITUTE(SUBSTITUTE(SUBSTITUTE(AG31,"__","_"),"__","_"),"__","_"),"__","_"),"__","_"),"__","_"),"__","_"),"__","_"))</f>
        <v/>
      </c>
      <c r="AI31" s="4">
        <f>IF(OR(AH31="",AH31="_"),"",IF(LEFT(AH31,1)="_",IF(RIGHT(AH31,1)="_",MID(AH31,2,LEN(AH31)-2),RIGHT(AH31,LEN(AH31)-1)),IF(RIGHT(AH31,1)="_",LEFT(AH31,LEN(AH31)-1),AH31)))</f>
        <v/>
      </c>
    </row>
  </sheetData>
  <conditionalFormatting sqref="N8:N31">
    <cfRule type="expression" priority="1" dxfId="0">
      <formula>ISNUMBER(SEARCH("Missing",N8))</formula>
    </cfRule>
    <cfRule type="expression" priority="2" dxfId="1">
      <formula>OR(ISNUMBER(SEARCH("Duplicate",N8)),ISNUMBER(SEARCH("differs",N8)))</formula>
    </cfRule>
    <cfRule type="expression" priority="3" dxfId="2">
      <formula>N8="Ready"</formula>
    </cfRule>
  </conditionalFormatting>
  <dataValidations count="8">
    <dataValidation sqref="C8:C31" showDropDown="0" showInputMessage="0" showErrorMessage="0" allowBlank="1" errorTitle="activity_ownership" error="Choose a value from the approved list or leave it blank when the field is optional." promptTitle="activity_ownership" prompt="Select an approved value." type="list">
      <formula1>"paid,owned,earned,external_event"</formula1>
    </dataValidation>
    <dataValidation sqref="D8:D31" showDropDown="0" showInputMessage="0" showErrorMessage="0" allowBlank="1" errorTitle="intended_model_role" error="Choose a value from the approved list or leave it blank when the field is optional." promptTitle="intended_model_role" prompt="Select an approved value." type="list">
      <formula1>"mediator,event,demand_capture,control,intervention"</formula1>
    </dataValidation>
    <dataValidation sqref="G8:G31" showDropDown="0" showInputMessage="0" showErrorMessage="0" allowBlank="1" errorTitle="economic_treatment" error="Choose a value from the approved list or leave it blank when the field is optional." promptTitle="economic_treatment" prompt="Select an approved value." type="list">
      <formula1>"paid_media_cost,fully_loaded_cost,not_applicable,response_only,campaign_cost"</formula1>
    </dataValidation>
    <dataValidation sqref="H8:H31" showDropDown="0" showInputMessage="0" showErrorMessage="0" allowBlank="1" errorTitle="planning_eligibility" error="Choose a value from the approved list or leave it blank when the field is optional." promptTitle="planning_eligibility" prompt="Select an approved value." type="list">
      <formula1>"optimisable,excluded,fixed,scenario_only"</formula1>
    </dataValidation>
    <dataValidation sqref="R8:R31" showDropDown="0" showInputMessage="0" showErrorMessage="0" allowBlank="1" errorTitle="funnel_stage" error="Choose a value from the approved list or leave it blank when the field is optional." promptTitle="funnel_stage" prompt="Select an approved value." type="list">
      <formula1>"brand_upper,mid_funnel,performance_lower,cross_funnel,not_applicable,unclassified"</formula1>
    </dataValidation>
    <dataValidation sqref="O8:O31" showDropDown="0" showInputMessage="0" showErrorMessage="0" allowBlank="1" promptTitle="platform" prompt="Choose a suggestion, or type your own text -- this field is not a closed list in the app." type="list">
      <formula1>"Google,Bing"</formula1>
    </dataValidation>
    <dataValidation sqref="P8:P31" showDropDown="0" showInputMessage="0" showErrorMessage="0" allowBlank="1" promptTitle="campaign_type" prompt="Choose a suggestion, or type your own text -- this field is not a closed list in the app." type="list">
      <formula1>"Brand,Non-Brand"</formula1>
    </dataValidation>
    <dataValidation sqref="S8:S31" showDropDown="0" showInputMessage="0" showErrorMessage="0" allowBlank="1" promptTitle="marketing_objective" prompt="Choose a suggestion, or type your own text -- this field is not a closed list in the app." type="list">
      <formula1>"brand awareness,consideration,acquisition/performance,retention/lifecycle,promotion,winback,service/transactional,other"</formula1>
    </dataValidation>
  </dataValidations>
  <pageMargins left="0.75" right="0.75" top="1" bottom="1" header="0.5" footer="0.5"/>
  <pageSetup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Y25"/>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s>
  <sheetData>
    <row r="1">
      <c r="A1" s="5" t="inlineStr">
        <is>
          <t>activity_id</t>
        </is>
      </c>
      <c r="B1" s="5" t="inlineStr">
        <is>
          <t>market</t>
        </is>
      </c>
      <c r="C1" s="5" t="inlineStr">
        <is>
          <t>pooling_group_id</t>
        </is>
      </c>
      <c r="D1" s="5" t="inlineStr">
        <is>
          <t>channel</t>
        </is>
      </c>
      <c r="E1" s="5" t="inlineStr">
        <is>
          <t>platform</t>
        </is>
      </c>
      <c r="F1" s="5" t="inlineStr">
        <is>
          <t>campaign_type</t>
        </is>
      </c>
      <c r="G1" s="5" t="inlineStr">
        <is>
          <t>marketing_objective</t>
        </is>
      </c>
      <c r="H1" s="5" t="inlineStr">
        <is>
          <t>funnel_stage</t>
        </is>
      </c>
      <c r="I1" s="5" t="inlineStr">
        <is>
          <t>product_advertised</t>
        </is>
      </c>
      <c r="J1" s="5" t="inlineStr">
        <is>
          <t>message_type</t>
        </is>
      </c>
      <c r="K1" s="5" t="inlineStr">
        <is>
          <t>activity_ownership</t>
        </is>
      </c>
      <c r="L1" s="5" t="inlineStr">
        <is>
          <t>intended_model_role</t>
        </is>
      </c>
      <c r="M1" s="5" t="inlineStr">
        <is>
          <t>model_input_column</t>
        </is>
      </c>
      <c r="N1" s="5" t="inlineStr">
        <is>
          <t>model_input_measure</t>
        </is>
      </c>
      <c r="O1" s="5" t="inlineStr">
        <is>
          <t>economic_treatment</t>
        </is>
      </c>
      <c r="P1" s="5" t="inlineStr">
        <is>
          <t>planning_eligibility</t>
        </is>
      </c>
      <c r="Q1" s="5" t="inlineStr">
        <is>
          <t>source</t>
        </is>
      </c>
      <c r="R1" s="5" t="inlineStr">
        <is>
          <t>model_input_unit</t>
        </is>
      </c>
      <c r="S1" s="5" t="inlineStr">
        <is>
          <t>model_input_kind</t>
        </is>
      </c>
      <c r="T1" s="5" t="inlineStr">
        <is>
          <t>spend_column</t>
        </is>
      </c>
      <c r="U1" s="5" t="inlineStr">
        <is>
          <t>response_unit_column</t>
        </is>
      </c>
      <c r="V1" s="5" t="inlineStr">
        <is>
          <t>response_unit</t>
        </is>
      </c>
      <c r="W1" s="5" t="inlineStr">
        <is>
          <t>currency</t>
        </is>
      </c>
      <c r="X1" s="5" t="inlineStr">
        <is>
          <t>effective_from</t>
        </is>
      </c>
      <c r="Y1" s="5" t="inlineStr">
        <is>
          <t>effective_to</t>
        </is>
      </c>
    </row>
    <row r="2">
      <c r="A2">
        <f>'BUILDER'!M8</f>
        <v/>
      </c>
      <c r="B2">
        <f>'BUILDER'!B8</f>
        <v/>
      </c>
      <c r="C2">
        <f>'BUILDER'!Q8</f>
        <v/>
      </c>
      <c r="D2">
        <f>'BUILDER'!A8</f>
        <v/>
      </c>
      <c r="E2">
        <f>IF(TRIM('BUILDER'!O8)&lt;&gt;"",'BUILDER'!O8,"not specified")</f>
        <v/>
      </c>
      <c r="F2">
        <f>IF(TRIM('BUILDER'!P8)&lt;&gt;"",'BUILDER'!P8,"not specified")</f>
        <v/>
      </c>
      <c r="G2">
        <f>IF(TRIM('BUILDER'!S8)&lt;&gt;"",'BUILDER'!S8,"not specified")</f>
        <v/>
      </c>
      <c r="H2">
        <f>IF(TRIM('BUILDER'!R8)&lt;&gt;"",'BUILDER'!R8,"unclassified")</f>
        <v/>
      </c>
      <c r="I2">
        <f>IF(TRIM('BUILDER'!T8)&lt;&gt;"",'BUILDER'!T8,"not specified")</f>
        <v/>
      </c>
      <c r="J2">
        <f>IF(TRIM('BUILDER'!U8)&lt;&gt;"",'BUILDER'!U8,"not specified")</f>
        <v/>
      </c>
      <c r="K2">
        <f>'BUILDER'!C8</f>
        <v/>
      </c>
      <c r="L2">
        <f>'BUILDER'!D8</f>
        <v/>
      </c>
      <c r="M2">
        <f>IF(TRIM('BUILDER'!E8)&lt;&gt;"",'BUILDER'!E8,'BUILDER'!M8)</f>
        <v/>
      </c>
      <c r="N2">
        <f>'BUILDER'!F8</f>
        <v/>
      </c>
      <c r="O2">
        <f>'BUILDER'!G8</f>
        <v/>
      </c>
      <c r="P2">
        <f>'BUILDER'!H8</f>
        <v/>
      </c>
      <c r="Q2">
        <f>'BUILDER'!I8</f>
        <v/>
      </c>
      <c r="R2" t="inlineStr"/>
      <c r="S2" t="inlineStr"/>
      <c r="T2" t="inlineStr"/>
      <c r="U2" t="inlineStr"/>
      <c r="V2" t="inlineStr"/>
      <c r="W2">
        <f>'BUILDER'!V8</f>
        <v/>
      </c>
      <c r="X2">
        <f>'BUILDER'!W8</f>
        <v/>
      </c>
      <c r="Y2">
        <f>'BUILDER'!X8</f>
        <v/>
      </c>
    </row>
    <row r="3">
      <c r="A3">
        <f>'BUILDER'!M9</f>
        <v/>
      </c>
      <c r="B3">
        <f>'BUILDER'!B9</f>
        <v/>
      </c>
      <c r="C3">
        <f>'BUILDER'!Q9</f>
        <v/>
      </c>
      <c r="D3">
        <f>'BUILDER'!A9</f>
        <v/>
      </c>
      <c r="E3">
        <f>IF(TRIM('BUILDER'!O9)&lt;&gt;"",'BUILDER'!O9,"not specified")</f>
        <v/>
      </c>
      <c r="F3">
        <f>IF(TRIM('BUILDER'!P9)&lt;&gt;"",'BUILDER'!P9,"not specified")</f>
        <v/>
      </c>
      <c r="G3">
        <f>IF(TRIM('BUILDER'!S9)&lt;&gt;"",'BUILDER'!S9,"not specified")</f>
        <v/>
      </c>
      <c r="H3">
        <f>IF(TRIM('BUILDER'!R9)&lt;&gt;"",'BUILDER'!R9,"unclassified")</f>
        <v/>
      </c>
      <c r="I3">
        <f>IF(TRIM('BUILDER'!T9)&lt;&gt;"",'BUILDER'!T9,"not specified")</f>
        <v/>
      </c>
      <c r="J3">
        <f>IF(TRIM('BUILDER'!U9)&lt;&gt;"",'BUILDER'!U9,"not specified")</f>
        <v/>
      </c>
      <c r="K3">
        <f>'BUILDER'!C9</f>
        <v/>
      </c>
      <c r="L3">
        <f>'BUILDER'!D9</f>
        <v/>
      </c>
      <c r="M3">
        <f>IF(TRIM('BUILDER'!E9)&lt;&gt;"",'BUILDER'!E9,'BUILDER'!M9)</f>
        <v/>
      </c>
      <c r="N3">
        <f>'BUILDER'!F9</f>
        <v/>
      </c>
      <c r="O3">
        <f>'BUILDER'!G9</f>
        <v/>
      </c>
      <c r="P3">
        <f>'BUILDER'!H9</f>
        <v/>
      </c>
      <c r="Q3">
        <f>'BUILDER'!I9</f>
        <v/>
      </c>
      <c r="R3" t="inlineStr"/>
      <c r="S3" t="inlineStr"/>
      <c r="T3" t="inlineStr"/>
      <c r="U3" t="inlineStr"/>
      <c r="V3" t="inlineStr"/>
      <c r="W3">
        <f>'BUILDER'!V9</f>
        <v/>
      </c>
      <c r="X3">
        <f>'BUILDER'!W9</f>
        <v/>
      </c>
      <c r="Y3">
        <f>'BUILDER'!X9</f>
        <v/>
      </c>
    </row>
    <row r="4">
      <c r="A4">
        <f>'BUILDER'!M10</f>
        <v/>
      </c>
      <c r="B4">
        <f>'BUILDER'!B10</f>
        <v/>
      </c>
      <c r="C4">
        <f>'BUILDER'!Q10</f>
        <v/>
      </c>
      <c r="D4">
        <f>'BUILDER'!A10</f>
        <v/>
      </c>
      <c r="E4">
        <f>IF(TRIM('BUILDER'!O10)&lt;&gt;"",'BUILDER'!O10,"not specified")</f>
        <v/>
      </c>
      <c r="F4">
        <f>IF(TRIM('BUILDER'!P10)&lt;&gt;"",'BUILDER'!P10,"not specified")</f>
        <v/>
      </c>
      <c r="G4">
        <f>IF(TRIM('BUILDER'!S10)&lt;&gt;"",'BUILDER'!S10,"not specified")</f>
        <v/>
      </c>
      <c r="H4">
        <f>IF(TRIM('BUILDER'!R10)&lt;&gt;"",'BUILDER'!R10,"unclassified")</f>
        <v/>
      </c>
      <c r="I4">
        <f>IF(TRIM('BUILDER'!T10)&lt;&gt;"",'BUILDER'!T10,"not specified")</f>
        <v/>
      </c>
      <c r="J4">
        <f>IF(TRIM('BUILDER'!U10)&lt;&gt;"",'BUILDER'!U10,"not specified")</f>
        <v/>
      </c>
      <c r="K4">
        <f>'BUILDER'!C10</f>
        <v/>
      </c>
      <c r="L4">
        <f>'BUILDER'!D10</f>
        <v/>
      </c>
      <c r="M4">
        <f>IF(TRIM('BUILDER'!E10)&lt;&gt;"",'BUILDER'!E10,'BUILDER'!M10)</f>
        <v/>
      </c>
      <c r="N4">
        <f>'BUILDER'!F10</f>
        <v/>
      </c>
      <c r="O4">
        <f>'BUILDER'!G10</f>
        <v/>
      </c>
      <c r="P4">
        <f>'BUILDER'!H10</f>
        <v/>
      </c>
      <c r="Q4">
        <f>'BUILDER'!I10</f>
        <v/>
      </c>
      <c r="R4" t="inlineStr"/>
      <c r="S4" t="inlineStr"/>
      <c r="T4" t="inlineStr"/>
      <c r="U4" t="inlineStr"/>
      <c r="V4" t="inlineStr"/>
      <c r="W4">
        <f>'BUILDER'!V10</f>
        <v/>
      </c>
      <c r="X4">
        <f>'BUILDER'!W10</f>
        <v/>
      </c>
      <c r="Y4">
        <f>'BUILDER'!X10</f>
        <v/>
      </c>
    </row>
    <row r="5">
      <c r="A5">
        <f>'BUILDER'!M11</f>
        <v/>
      </c>
      <c r="B5">
        <f>'BUILDER'!B11</f>
        <v/>
      </c>
      <c r="C5">
        <f>'BUILDER'!Q11</f>
        <v/>
      </c>
      <c r="D5">
        <f>'BUILDER'!A11</f>
        <v/>
      </c>
      <c r="E5">
        <f>IF(TRIM('BUILDER'!O11)&lt;&gt;"",'BUILDER'!O11,"not specified")</f>
        <v/>
      </c>
      <c r="F5">
        <f>IF(TRIM('BUILDER'!P11)&lt;&gt;"",'BUILDER'!P11,"not specified")</f>
        <v/>
      </c>
      <c r="G5">
        <f>IF(TRIM('BUILDER'!S11)&lt;&gt;"",'BUILDER'!S11,"not specified")</f>
        <v/>
      </c>
      <c r="H5">
        <f>IF(TRIM('BUILDER'!R11)&lt;&gt;"",'BUILDER'!R11,"unclassified")</f>
        <v/>
      </c>
      <c r="I5">
        <f>IF(TRIM('BUILDER'!T11)&lt;&gt;"",'BUILDER'!T11,"not specified")</f>
        <v/>
      </c>
      <c r="J5">
        <f>IF(TRIM('BUILDER'!U11)&lt;&gt;"",'BUILDER'!U11,"not specified")</f>
        <v/>
      </c>
      <c r="K5">
        <f>'BUILDER'!C11</f>
        <v/>
      </c>
      <c r="L5">
        <f>'BUILDER'!D11</f>
        <v/>
      </c>
      <c r="M5">
        <f>IF(TRIM('BUILDER'!E11)&lt;&gt;"",'BUILDER'!E11,'BUILDER'!M11)</f>
        <v/>
      </c>
      <c r="N5">
        <f>'BUILDER'!F11</f>
        <v/>
      </c>
      <c r="O5">
        <f>'BUILDER'!G11</f>
        <v/>
      </c>
      <c r="P5">
        <f>'BUILDER'!H11</f>
        <v/>
      </c>
      <c r="Q5">
        <f>'BUILDER'!I11</f>
        <v/>
      </c>
      <c r="R5" t="inlineStr"/>
      <c r="S5" t="inlineStr"/>
      <c r="T5" t="inlineStr"/>
      <c r="U5" t="inlineStr"/>
      <c r="V5" t="inlineStr"/>
      <c r="W5">
        <f>'BUILDER'!V11</f>
        <v/>
      </c>
      <c r="X5">
        <f>'BUILDER'!W11</f>
        <v/>
      </c>
      <c r="Y5">
        <f>'BUILDER'!X11</f>
        <v/>
      </c>
    </row>
    <row r="6">
      <c r="A6">
        <f>'BUILDER'!M12</f>
        <v/>
      </c>
      <c r="B6">
        <f>'BUILDER'!B12</f>
        <v/>
      </c>
      <c r="C6">
        <f>'BUILDER'!Q12</f>
        <v/>
      </c>
      <c r="D6">
        <f>'BUILDER'!A12</f>
        <v/>
      </c>
      <c r="E6">
        <f>IF(TRIM('BUILDER'!O12)&lt;&gt;"",'BUILDER'!O12,"not specified")</f>
        <v/>
      </c>
      <c r="F6">
        <f>IF(TRIM('BUILDER'!P12)&lt;&gt;"",'BUILDER'!P12,"not specified")</f>
        <v/>
      </c>
      <c r="G6">
        <f>IF(TRIM('BUILDER'!S12)&lt;&gt;"",'BUILDER'!S12,"not specified")</f>
        <v/>
      </c>
      <c r="H6">
        <f>IF(TRIM('BUILDER'!R12)&lt;&gt;"",'BUILDER'!R12,"unclassified")</f>
        <v/>
      </c>
      <c r="I6">
        <f>IF(TRIM('BUILDER'!T12)&lt;&gt;"",'BUILDER'!T12,"not specified")</f>
        <v/>
      </c>
      <c r="J6">
        <f>IF(TRIM('BUILDER'!U12)&lt;&gt;"",'BUILDER'!U12,"not specified")</f>
        <v/>
      </c>
      <c r="K6">
        <f>'BUILDER'!C12</f>
        <v/>
      </c>
      <c r="L6">
        <f>'BUILDER'!D12</f>
        <v/>
      </c>
      <c r="M6">
        <f>IF(TRIM('BUILDER'!E12)&lt;&gt;"",'BUILDER'!E12,'BUILDER'!M12)</f>
        <v/>
      </c>
      <c r="N6">
        <f>'BUILDER'!F12</f>
        <v/>
      </c>
      <c r="O6">
        <f>'BUILDER'!G12</f>
        <v/>
      </c>
      <c r="P6">
        <f>'BUILDER'!H12</f>
        <v/>
      </c>
      <c r="Q6">
        <f>'BUILDER'!I12</f>
        <v/>
      </c>
      <c r="R6" t="inlineStr"/>
      <c r="S6" t="inlineStr"/>
      <c r="T6" t="inlineStr"/>
      <c r="U6" t="inlineStr"/>
      <c r="V6" t="inlineStr"/>
      <c r="W6">
        <f>'BUILDER'!V12</f>
        <v/>
      </c>
      <c r="X6">
        <f>'BUILDER'!W12</f>
        <v/>
      </c>
      <c r="Y6">
        <f>'BUILDER'!X12</f>
        <v/>
      </c>
    </row>
    <row r="7">
      <c r="A7">
        <f>'BUILDER'!M13</f>
        <v/>
      </c>
      <c r="B7">
        <f>'BUILDER'!B13</f>
        <v/>
      </c>
      <c r="C7">
        <f>'BUILDER'!Q13</f>
        <v/>
      </c>
      <c r="D7">
        <f>'BUILDER'!A13</f>
        <v/>
      </c>
      <c r="E7">
        <f>IF(TRIM('BUILDER'!O13)&lt;&gt;"",'BUILDER'!O13,"not specified")</f>
        <v/>
      </c>
      <c r="F7">
        <f>IF(TRIM('BUILDER'!P13)&lt;&gt;"",'BUILDER'!P13,"not specified")</f>
        <v/>
      </c>
      <c r="G7">
        <f>IF(TRIM('BUILDER'!S13)&lt;&gt;"",'BUILDER'!S13,"not specified")</f>
        <v/>
      </c>
      <c r="H7">
        <f>IF(TRIM('BUILDER'!R13)&lt;&gt;"",'BUILDER'!R13,"unclassified")</f>
        <v/>
      </c>
      <c r="I7">
        <f>IF(TRIM('BUILDER'!T13)&lt;&gt;"",'BUILDER'!T13,"not specified")</f>
        <v/>
      </c>
      <c r="J7">
        <f>IF(TRIM('BUILDER'!U13)&lt;&gt;"",'BUILDER'!U13,"not specified")</f>
        <v/>
      </c>
      <c r="K7">
        <f>'BUILDER'!C13</f>
        <v/>
      </c>
      <c r="L7">
        <f>'BUILDER'!D13</f>
        <v/>
      </c>
      <c r="M7">
        <f>IF(TRIM('BUILDER'!E13)&lt;&gt;"",'BUILDER'!E13,'BUILDER'!M13)</f>
        <v/>
      </c>
      <c r="N7">
        <f>'BUILDER'!F13</f>
        <v/>
      </c>
      <c r="O7">
        <f>'BUILDER'!G13</f>
        <v/>
      </c>
      <c r="P7">
        <f>'BUILDER'!H13</f>
        <v/>
      </c>
      <c r="Q7">
        <f>'BUILDER'!I13</f>
        <v/>
      </c>
      <c r="R7" t="inlineStr"/>
      <c r="S7" t="inlineStr"/>
      <c r="T7" t="inlineStr"/>
      <c r="U7" t="inlineStr"/>
      <c r="V7" t="inlineStr"/>
      <c r="W7">
        <f>'BUILDER'!V13</f>
        <v/>
      </c>
      <c r="X7">
        <f>'BUILDER'!W13</f>
        <v/>
      </c>
      <c r="Y7">
        <f>'BUILDER'!X13</f>
        <v/>
      </c>
    </row>
    <row r="8">
      <c r="A8">
        <f>'BUILDER'!M14</f>
        <v/>
      </c>
      <c r="B8">
        <f>'BUILDER'!B14</f>
        <v/>
      </c>
      <c r="C8">
        <f>'BUILDER'!Q14</f>
        <v/>
      </c>
      <c r="D8">
        <f>'BUILDER'!A14</f>
        <v/>
      </c>
      <c r="E8">
        <f>IF(TRIM('BUILDER'!O14)&lt;&gt;"",'BUILDER'!O14,"not specified")</f>
        <v/>
      </c>
      <c r="F8">
        <f>IF(TRIM('BUILDER'!P14)&lt;&gt;"",'BUILDER'!P14,"not specified")</f>
        <v/>
      </c>
      <c r="G8">
        <f>IF(TRIM('BUILDER'!S14)&lt;&gt;"",'BUILDER'!S14,"not specified")</f>
        <v/>
      </c>
      <c r="H8">
        <f>IF(TRIM('BUILDER'!R14)&lt;&gt;"",'BUILDER'!R14,"unclassified")</f>
        <v/>
      </c>
      <c r="I8">
        <f>IF(TRIM('BUILDER'!T14)&lt;&gt;"",'BUILDER'!T14,"not specified")</f>
        <v/>
      </c>
      <c r="J8">
        <f>IF(TRIM('BUILDER'!U14)&lt;&gt;"",'BUILDER'!U14,"not specified")</f>
        <v/>
      </c>
      <c r="K8">
        <f>'BUILDER'!C14</f>
        <v/>
      </c>
      <c r="L8">
        <f>'BUILDER'!D14</f>
        <v/>
      </c>
      <c r="M8">
        <f>IF(TRIM('BUILDER'!E14)&lt;&gt;"",'BUILDER'!E14,'BUILDER'!M14)</f>
        <v/>
      </c>
      <c r="N8">
        <f>'BUILDER'!F14</f>
        <v/>
      </c>
      <c r="O8">
        <f>'BUILDER'!G14</f>
        <v/>
      </c>
      <c r="P8">
        <f>'BUILDER'!H14</f>
        <v/>
      </c>
      <c r="Q8">
        <f>'BUILDER'!I14</f>
        <v/>
      </c>
      <c r="R8" t="inlineStr"/>
      <c r="S8" t="inlineStr"/>
      <c r="T8" t="inlineStr"/>
      <c r="U8" t="inlineStr"/>
      <c r="V8" t="inlineStr"/>
      <c r="W8">
        <f>'BUILDER'!V14</f>
        <v/>
      </c>
      <c r="X8">
        <f>'BUILDER'!W14</f>
        <v/>
      </c>
      <c r="Y8">
        <f>'BUILDER'!X14</f>
        <v/>
      </c>
    </row>
    <row r="9">
      <c r="A9">
        <f>'BUILDER'!M15</f>
        <v/>
      </c>
      <c r="B9">
        <f>'BUILDER'!B15</f>
        <v/>
      </c>
      <c r="C9">
        <f>'BUILDER'!Q15</f>
        <v/>
      </c>
      <c r="D9">
        <f>'BUILDER'!A15</f>
        <v/>
      </c>
      <c r="E9">
        <f>IF(TRIM('BUILDER'!O15)&lt;&gt;"",'BUILDER'!O15,"not specified")</f>
        <v/>
      </c>
      <c r="F9">
        <f>IF(TRIM('BUILDER'!P15)&lt;&gt;"",'BUILDER'!P15,"not specified")</f>
        <v/>
      </c>
      <c r="G9">
        <f>IF(TRIM('BUILDER'!S15)&lt;&gt;"",'BUILDER'!S15,"not specified")</f>
        <v/>
      </c>
      <c r="H9">
        <f>IF(TRIM('BUILDER'!R15)&lt;&gt;"",'BUILDER'!R15,"unclassified")</f>
        <v/>
      </c>
      <c r="I9">
        <f>IF(TRIM('BUILDER'!T15)&lt;&gt;"",'BUILDER'!T15,"not specified")</f>
        <v/>
      </c>
      <c r="J9">
        <f>IF(TRIM('BUILDER'!U15)&lt;&gt;"",'BUILDER'!U15,"not specified")</f>
        <v/>
      </c>
      <c r="K9">
        <f>'BUILDER'!C15</f>
        <v/>
      </c>
      <c r="L9">
        <f>'BUILDER'!D15</f>
        <v/>
      </c>
      <c r="M9">
        <f>IF(TRIM('BUILDER'!E15)&lt;&gt;"",'BUILDER'!E15,'BUILDER'!M15)</f>
        <v/>
      </c>
      <c r="N9">
        <f>'BUILDER'!F15</f>
        <v/>
      </c>
      <c r="O9">
        <f>'BUILDER'!G15</f>
        <v/>
      </c>
      <c r="P9">
        <f>'BUILDER'!H15</f>
        <v/>
      </c>
      <c r="Q9">
        <f>'BUILDER'!I15</f>
        <v/>
      </c>
      <c r="R9" t="inlineStr"/>
      <c r="S9" t="inlineStr"/>
      <c r="T9" t="inlineStr"/>
      <c r="U9" t="inlineStr"/>
      <c r="V9" t="inlineStr"/>
      <c r="W9">
        <f>'BUILDER'!V15</f>
        <v/>
      </c>
      <c r="X9">
        <f>'BUILDER'!W15</f>
        <v/>
      </c>
      <c r="Y9">
        <f>'BUILDER'!X15</f>
        <v/>
      </c>
    </row>
    <row r="10">
      <c r="A10">
        <f>'BUILDER'!M16</f>
        <v/>
      </c>
      <c r="B10">
        <f>'BUILDER'!B16</f>
        <v/>
      </c>
      <c r="C10">
        <f>'BUILDER'!Q16</f>
        <v/>
      </c>
      <c r="D10">
        <f>'BUILDER'!A16</f>
        <v/>
      </c>
      <c r="E10">
        <f>IF(TRIM('BUILDER'!O16)&lt;&gt;"",'BUILDER'!O16,"not specified")</f>
        <v/>
      </c>
      <c r="F10">
        <f>IF(TRIM('BUILDER'!P16)&lt;&gt;"",'BUILDER'!P16,"not specified")</f>
        <v/>
      </c>
      <c r="G10">
        <f>IF(TRIM('BUILDER'!S16)&lt;&gt;"",'BUILDER'!S16,"not specified")</f>
        <v/>
      </c>
      <c r="H10">
        <f>IF(TRIM('BUILDER'!R16)&lt;&gt;"",'BUILDER'!R16,"unclassified")</f>
        <v/>
      </c>
      <c r="I10">
        <f>IF(TRIM('BUILDER'!T16)&lt;&gt;"",'BUILDER'!T16,"not specified")</f>
        <v/>
      </c>
      <c r="J10">
        <f>IF(TRIM('BUILDER'!U16)&lt;&gt;"",'BUILDER'!U16,"not specified")</f>
        <v/>
      </c>
      <c r="K10">
        <f>'BUILDER'!C16</f>
        <v/>
      </c>
      <c r="L10">
        <f>'BUILDER'!D16</f>
        <v/>
      </c>
      <c r="M10">
        <f>IF(TRIM('BUILDER'!E16)&lt;&gt;"",'BUILDER'!E16,'BUILDER'!M16)</f>
        <v/>
      </c>
      <c r="N10">
        <f>'BUILDER'!F16</f>
        <v/>
      </c>
      <c r="O10">
        <f>'BUILDER'!G16</f>
        <v/>
      </c>
      <c r="P10">
        <f>'BUILDER'!H16</f>
        <v/>
      </c>
      <c r="Q10">
        <f>'BUILDER'!I16</f>
        <v/>
      </c>
      <c r="R10" t="inlineStr"/>
      <c r="S10" t="inlineStr"/>
      <c r="T10" t="inlineStr"/>
      <c r="U10" t="inlineStr"/>
      <c r="V10" t="inlineStr"/>
      <c r="W10">
        <f>'BUILDER'!V16</f>
        <v/>
      </c>
      <c r="X10">
        <f>'BUILDER'!W16</f>
        <v/>
      </c>
      <c r="Y10">
        <f>'BUILDER'!X16</f>
        <v/>
      </c>
    </row>
    <row r="11">
      <c r="A11">
        <f>'BUILDER'!M17</f>
        <v/>
      </c>
      <c r="B11">
        <f>'BUILDER'!B17</f>
        <v/>
      </c>
      <c r="C11">
        <f>'BUILDER'!Q17</f>
        <v/>
      </c>
      <c r="D11">
        <f>'BUILDER'!A17</f>
        <v/>
      </c>
      <c r="E11">
        <f>IF(TRIM('BUILDER'!O17)&lt;&gt;"",'BUILDER'!O17,"not specified")</f>
        <v/>
      </c>
      <c r="F11">
        <f>IF(TRIM('BUILDER'!P17)&lt;&gt;"",'BUILDER'!P17,"not specified")</f>
        <v/>
      </c>
      <c r="G11">
        <f>IF(TRIM('BUILDER'!S17)&lt;&gt;"",'BUILDER'!S17,"not specified")</f>
        <v/>
      </c>
      <c r="H11">
        <f>IF(TRIM('BUILDER'!R17)&lt;&gt;"",'BUILDER'!R17,"unclassified")</f>
        <v/>
      </c>
      <c r="I11">
        <f>IF(TRIM('BUILDER'!T17)&lt;&gt;"",'BUILDER'!T17,"not specified")</f>
        <v/>
      </c>
      <c r="J11">
        <f>IF(TRIM('BUILDER'!U17)&lt;&gt;"",'BUILDER'!U17,"not specified")</f>
        <v/>
      </c>
      <c r="K11">
        <f>'BUILDER'!C17</f>
        <v/>
      </c>
      <c r="L11">
        <f>'BUILDER'!D17</f>
        <v/>
      </c>
      <c r="M11">
        <f>IF(TRIM('BUILDER'!E17)&lt;&gt;"",'BUILDER'!E17,'BUILDER'!M17)</f>
        <v/>
      </c>
      <c r="N11">
        <f>'BUILDER'!F17</f>
        <v/>
      </c>
      <c r="O11">
        <f>'BUILDER'!G17</f>
        <v/>
      </c>
      <c r="P11">
        <f>'BUILDER'!H17</f>
        <v/>
      </c>
      <c r="Q11">
        <f>'BUILDER'!I17</f>
        <v/>
      </c>
      <c r="R11" t="inlineStr"/>
      <c r="S11" t="inlineStr"/>
      <c r="T11" t="inlineStr"/>
      <c r="U11" t="inlineStr"/>
      <c r="V11" t="inlineStr"/>
      <c r="W11">
        <f>'BUILDER'!V17</f>
        <v/>
      </c>
      <c r="X11">
        <f>'BUILDER'!W17</f>
        <v/>
      </c>
      <c r="Y11">
        <f>'BUILDER'!X17</f>
        <v/>
      </c>
    </row>
    <row r="12">
      <c r="A12">
        <f>'BUILDER'!M18</f>
        <v/>
      </c>
      <c r="B12">
        <f>'BUILDER'!B18</f>
        <v/>
      </c>
      <c r="C12">
        <f>'BUILDER'!Q18</f>
        <v/>
      </c>
      <c r="D12">
        <f>'BUILDER'!A18</f>
        <v/>
      </c>
      <c r="E12">
        <f>IF(TRIM('BUILDER'!O18)&lt;&gt;"",'BUILDER'!O18,"not specified")</f>
        <v/>
      </c>
      <c r="F12">
        <f>IF(TRIM('BUILDER'!P18)&lt;&gt;"",'BUILDER'!P18,"not specified")</f>
        <v/>
      </c>
      <c r="G12">
        <f>IF(TRIM('BUILDER'!S18)&lt;&gt;"",'BUILDER'!S18,"not specified")</f>
        <v/>
      </c>
      <c r="H12">
        <f>IF(TRIM('BUILDER'!R18)&lt;&gt;"",'BUILDER'!R18,"unclassified")</f>
        <v/>
      </c>
      <c r="I12">
        <f>IF(TRIM('BUILDER'!T18)&lt;&gt;"",'BUILDER'!T18,"not specified")</f>
        <v/>
      </c>
      <c r="J12">
        <f>IF(TRIM('BUILDER'!U18)&lt;&gt;"",'BUILDER'!U18,"not specified")</f>
        <v/>
      </c>
      <c r="K12">
        <f>'BUILDER'!C18</f>
        <v/>
      </c>
      <c r="L12">
        <f>'BUILDER'!D18</f>
        <v/>
      </c>
      <c r="M12">
        <f>IF(TRIM('BUILDER'!E18)&lt;&gt;"",'BUILDER'!E18,'BUILDER'!M18)</f>
        <v/>
      </c>
      <c r="N12">
        <f>'BUILDER'!F18</f>
        <v/>
      </c>
      <c r="O12">
        <f>'BUILDER'!G18</f>
        <v/>
      </c>
      <c r="P12">
        <f>'BUILDER'!H18</f>
        <v/>
      </c>
      <c r="Q12">
        <f>'BUILDER'!I18</f>
        <v/>
      </c>
      <c r="R12" t="inlineStr"/>
      <c r="S12" t="inlineStr"/>
      <c r="T12" t="inlineStr"/>
      <c r="U12" t="inlineStr"/>
      <c r="V12" t="inlineStr"/>
      <c r="W12">
        <f>'BUILDER'!V18</f>
        <v/>
      </c>
      <c r="X12">
        <f>'BUILDER'!W18</f>
        <v/>
      </c>
      <c r="Y12">
        <f>'BUILDER'!X18</f>
        <v/>
      </c>
    </row>
    <row r="13">
      <c r="A13">
        <f>'BUILDER'!M19</f>
        <v/>
      </c>
      <c r="B13">
        <f>'BUILDER'!B19</f>
        <v/>
      </c>
      <c r="C13">
        <f>'BUILDER'!Q19</f>
        <v/>
      </c>
      <c r="D13">
        <f>'BUILDER'!A19</f>
        <v/>
      </c>
      <c r="E13">
        <f>IF(TRIM('BUILDER'!O19)&lt;&gt;"",'BUILDER'!O19,"not specified")</f>
        <v/>
      </c>
      <c r="F13">
        <f>IF(TRIM('BUILDER'!P19)&lt;&gt;"",'BUILDER'!P19,"not specified")</f>
        <v/>
      </c>
      <c r="G13">
        <f>IF(TRIM('BUILDER'!S19)&lt;&gt;"",'BUILDER'!S19,"not specified")</f>
        <v/>
      </c>
      <c r="H13">
        <f>IF(TRIM('BUILDER'!R19)&lt;&gt;"",'BUILDER'!R19,"unclassified")</f>
        <v/>
      </c>
      <c r="I13">
        <f>IF(TRIM('BUILDER'!T19)&lt;&gt;"",'BUILDER'!T19,"not specified")</f>
        <v/>
      </c>
      <c r="J13">
        <f>IF(TRIM('BUILDER'!U19)&lt;&gt;"",'BUILDER'!U19,"not specified")</f>
        <v/>
      </c>
      <c r="K13">
        <f>'BUILDER'!C19</f>
        <v/>
      </c>
      <c r="L13">
        <f>'BUILDER'!D19</f>
        <v/>
      </c>
      <c r="M13">
        <f>IF(TRIM('BUILDER'!E19)&lt;&gt;"",'BUILDER'!E19,'BUILDER'!M19)</f>
        <v/>
      </c>
      <c r="N13">
        <f>'BUILDER'!F19</f>
        <v/>
      </c>
      <c r="O13">
        <f>'BUILDER'!G19</f>
        <v/>
      </c>
      <c r="P13">
        <f>'BUILDER'!H19</f>
        <v/>
      </c>
      <c r="Q13">
        <f>'BUILDER'!I19</f>
        <v/>
      </c>
      <c r="R13" t="inlineStr"/>
      <c r="S13" t="inlineStr"/>
      <c r="T13" t="inlineStr"/>
      <c r="U13" t="inlineStr"/>
      <c r="V13" t="inlineStr"/>
      <c r="W13">
        <f>'BUILDER'!V19</f>
        <v/>
      </c>
      <c r="X13">
        <f>'BUILDER'!W19</f>
        <v/>
      </c>
      <c r="Y13">
        <f>'BUILDER'!X19</f>
        <v/>
      </c>
    </row>
    <row r="14">
      <c r="A14">
        <f>'BUILDER'!M20</f>
        <v/>
      </c>
      <c r="B14">
        <f>'BUILDER'!B20</f>
        <v/>
      </c>
      <c r="C14">
        <f>'BUILDER'!Q20</f>
        <v/>
      </c>
      <c r="D14">
        <f>'BUILDER'!A20</f>
        <v/>
      </c>
      <c r="E14">
        <f>IF(TRIM('BUILDER'!O20)&lt;&gt;"",'BUILDER'!O20,"not specified")</f>
        <v/>
      </c>
      <c r="F14">
        <f>IF(TRIM('BUILDER'!P20)&lt;&gt;"",'BUILDER'!P20,"not specified")</f>
        <v/>
      </c>
      <c r="G14">
        <f>IF(TRIM('BUILDER'!S20)&lt;&gt;"",'BUILDER'!S20,"not specified")</f>
        <v/>
      </c>
      <c r="H14">
        <f>IF(TRIM('BUILDER'!R20)&lt;&gt;"",'BUILDER'!R20,"unclassified")</f>
        <v/>
      </c>
      <c r="I14">
        <f>IF(TRIM('BUILDER'!T20)&lt;&gt;"",'BUILDER'!T20,"not specified")</f>
        <v/>
      </c>
      <c r="J14">
        <f>IF(TRIM('BUILDER'!U20)&lt;&gt;"",'BUILDER'!U20,"not specified")</f>
        <v/>
      </c>
      <c r="K14">
        <f>'BUILDER'!C20</f>
        <v/>
      </c>
      <c r="L14">
        <f>'BUILDER'!D20</f>
        <v/>
      </c>
      <c r="M14">
        <f>IF(TRIM('BUILDER'!E20)&lt;&gt;"",'BUILDER'!E20,'BUILDER'!M20)</f>
        <v/>
      </c>
      <c r="N14">
        <f>'BUILDER'!F20</f>
        <v/>
      </c>
      <c r="O14">
        <f>'BUILDER'!G20</f>
        <v/>
      </c>
      <c r="P14">
        <f>'BUILDER'!H20</f>
        <v/>
      </c>
      <c r="Q14">
        <f>'BUILDER'!I20</f>
        <v/>
      </c>
      <c r="R14" t="inlineStr"/>
      <c r="S14" t="inlineStr"/>
      <c r="T14" t="inlineStr"/>
      <c r="U14" t="inlineStr"/>
      <c r="V14" t="inlineStr"/>
      <c r="W14">
        <f>'BUILDER'!V20</f>
        <v/>
      </c>
      <c r="X14">
        <f>'BUILDER'!W20</f>
        <v/>
      </c>
      <c r="Y14">
        <f>'BUILDER'!X20</f>
        <v/>
      </c>
    </row>
    <row r="15">
      <c r="A15">
        <f>'BUILDER'!M21</f>
        <v/>
      </c>
      <c r="B15">
        <f>'BUILDER'!B21</f>
        <v/>
      </c>
      <c r="C15">
        <f>'BUILDER'!Q21</f>
        <v/>
      </c>
      <c r="D15">
        <f>'BUILDER'!A21</f>
        <v/>
      </c>
      <c r="E15">
        <f>IF(TRIM('BUILDER'!O21)&lt;&gt;"",'BUILDER'!O21,"not specified")</f>
        <v/>
      </c>
      <c r="F15">
        <f>IF(TRIM('BUILDER'!P21)&lt;&gt;"",'BUILDER'!P21,"not specified")</f>
        <v/>
      </c>
      <c r="G15">
        <f>IF(TRIM('BUILDER'!S21)&lt;&gt;"",'BUILDER'!S21,"not specified")</f>
        <v/>
      </c>
      <c r="H15">
        <f>IF(TRIM('BUILDER'!R21)&lt;&gt;"",'BUILDER'!R21,"unclassified")</f>
        <v/>
      </c>
      <c r="I15">
        <f>IF(TRIM('BUILDER'!T21)&lt;&gt;"",'BUILDER'!T21,"not specified")</f>
        <v/>
      </c>
      <c r="J15">
        <f>IF(TRIM('BUILDER'!U21)&lt;&gt;"",'BUILDER'!U21,"not specified")</f>
        <v/>
      </c>
      <c r="K15">
        <f>'BUILDER'!C21</f>
        <v/>
      </c>
      <c r="L15">
        <f>'BUILDER'!D21</f>
        <v/>
      </c>
      <c r="M15">
        <f>IF(TRIM('BUILDER'!E21)&lt;&gt;"",'BUILDER'!E21,'BUILDER'!M21)</f>
        <v/>
      </c>
      <c r="N15">
        <f>'BUILDER'!F21</f>
        <v/>
      </c>
      <c r="O15">
        <f>'BUILDER'!G21</f>
        <v/>
      </c>
      <c r="P15">
        <f>'BUILDER'!H21</f>
        <v/>
      </c>
      <c r="Q15">
        <f>'BUILDER'!I21</f>
        <v/>
      </c>
      <c r="R15" t="inlineStr"/>
      <c r="S15" t="inlineStr"/>
      <c r="T15" t="inlineStr"/>
      <c r="U15" t="inlineStr"/>
      <c r="V15" t="inlineStr"/>
      <c r="W15">
        <f>'BUILDER'!V21</f>
        <v/>
      </c>
      <c r="X15">
        <f>'BUILDER'!W21</f>
        <v/>
      </c>
      <c r="Y15">
        <f>'BUILDER'!X21</f>
        <v/>
      </c>
    </row>
    <row r="16">
      <c r="A16">
        <f>'BUILDER'!M22</f>
        <v/>
      </c>
      <c r="B16">
        <f>'BUILDER'!B22</f>
        <v/>
      </c>
      <c r="C16">
        <f>'BUILDER'!Q22</f>
        <v/>
      </c>
      <c r="D16">
        <f>'BUILDER'!A22</f>
        <v/>
      </c>
      <c r="E16">
        <f>IF(TRIM('BUILDER'!O22)&lt;&gt;"",'BUILDER'!O22,"not specified")</f>
        <v/>
      </c>
      <c r="F16">
        <f>IF(TRIM('BUILDER'!P22)&lt;&gt;"",'BUILDER'!P22,"not specified")</f>
        <v/>
      </c>
      <c r="G16">
        <f>IF(TRIM('BUILDER'!S22)&lt;&gt;"",'BUILDER'!S22,"not specified")</f>
        <v/>
      </c>
      <c r="H16">
        <f>IF(TRIM('BUILDER'!R22)&lt;&gt;"",'BUILDER'!R22,"unclassified")</f>
        <v/>
      </c>
      <c r="I16">
        <f>IF(TRIM('BUILDER'!T22)&lt;&gt;"",'BUILDER'!T22,"not specified")</f>
        <v/>
      </c>
      <c r="J16">
        <f>IF(TRIM('BUILDER'!U22)&lt;&gt;"",'BUILDER'!U22,"not specified")</f>
        <v/>
      </c>
      <c r="K16">
        <f>'BUILDER'!C22</f>
        <v/>
      </c>
      <c r="L16">
        <f>'BUILDER'!D22</f>
        <v/>
      </c>
      <c r="M16">
        <f>IF(TRIM('BUILDER'!E22)&lt;&gt;"",'BUILDER'!E22,'BUILDER'!M22)</f>
        <v/>
      </c>
      <c r="N16">
        <f>'BUILDER'!F22</f>
        <v/>
      </c>
      <c r="O16">
        <f>'BUILDER'!G22</f>
        <v/>
      </c>
      <c r="P16">
        <f>'BUILDER'!H22</f>
        <v/>
      </c>
      <c r="Q16">
        <f>'BUILDER'!I22</f>
        <v/>
      </c>
      <c r="R16" t="inlineStr"/>
      <c r="S16" t="inlineStr"/>
      <c r="T16" t="inlineStr"/>
      <c r="U16" t="inlineStr"/>
      <c r="V16" t="inlineStr"/>
      <c r="W16">
        <f>'BUILDER'!V22</f>
        <v/>
      </c>
      <c r="X16">
        <f>'BUILDER'!W22</f>
        <v/>
      </c>
      <c r="Y16">
        <f>'BUILDER'!X22</f>
        <v/>
      </c>
    </row>
    <row r="17">
      <c r="A17">
        <f>'BUILDER'!M23</f>
        <v/>
      </c>
      <c r="B17">
        <f>'BUILDER'!B23</f>
        <v/>
      </c>
      <c r="C17">
        <f>'BUILDER'!Q23</f>
        <v/>
      </c>
      <c r="D17">
        <f>'BUILDER'!A23</f>
        <v/>
      </c>
      <c r="E17">
        <f>IF(TRIM('BUILDER'!O23)&lt;&gt;"",'BUILDER'!O23,"not specified")</f>
        <v/>
      </c>
      <c r="F17">
        <f>IF(TRIM('BUILDER'!P23)&lt;&gt;"",'BUILDER'!P23,"not specified")</f>
        <v/>
      </c>
      <c r="G17">
        <f>IF(TRIM('BUILDER'!S23)&lt;&gt;"",'BUILDER'!S23,"not specified")</f>
        <v/>
      </c>
      <c r="H17">
        <f>IF(TRIM('BUILDER'!R23)&lt;&gt;"",'BUILDER'!R23,"unclassified")</f>
        <v/>
      </c>
      <c r="I17">
        <f>IF(TRIM('BUILDER'!T23)&lt;&gt;"",'BUILDER'!T23,"not specified")</f>
        <v/>
      </c>
      <c r="J17">
        <f>IF(TRIM('BUILDER'!U23)&lt;&gt;"",'BUILDER'!U23,"not specified")</f>
        <v/>
      </c>
      <c r="K17">
        <f>'BUILDER'!C23</f>
        <v/>
      </c>
      <c r="L17">
        <f>'BUILDER'!D23</f>
        <v/>
      </c>
      <c r="M17">
        <f>IF(TRIM('BUILDER'!E23)&lt;&gt;"",'BUILDER'!E23,'BUILDER'!M23)</f>
        <v/>
      </c>
      <c r="N17">
        <f>'BUILDER'!F23</f>
        <v/>
      </c>
      <c r="O17">
        <f>'BUILDER'!G23</f>
        <v/>
      </c>
      <c r="P17">
        <f>'BUILDER'!H23</f>
        <v/>
      </c>
      <c r="Q17">
        <f>'BUILDER'!I23</f>
        <v/>
      </c>
      <c r="R17" t="inlineStr"/>
      <c r="S17" t="inlineStr"/>
      <c r="T17" t="inlineStr"/>
      <c r="U17" t="inlineStr"/>
      <c r="V17" t="inlineStr"/>
      <c r="W17">
        <f>'BUILDER'!V23</f>
        <v/>
      </c>
      <c r="X17">
        <f>'BUILDER'!W23</f>
        <v/>
      </c>
      <c r="Y17">
        <f>'BUILDER'!X23</f>
        <v/>
      </c>
    </row>
    <row r="18">
      <c r="A18">
        <f>'BUILDER'!M24</f>
        <v/>
      </c>
      <c r="B18">
        <f>'BUILDER'!B24</f>
        <v/>
      </c>
      <c r="C18">
        <f>'BUILDER'!Q24</f>
        <v/>
      </c>
      <c r="D18">
        <f>'BUILDER'!A24</f>
        <v/>
      </c>
      <c r="E18">
        <f>IF(TRIM('BUILDER'!O24)&lt;&gt;"",'BUILDER'!O24,"not specified")</f>
        <v/>
      </c>
      <c r="F18">
        <f>IF(TRIM('BUILDER'!P24)&lt;&gt;"",'BUILDER'!P24,"not specified")</f>
        <v/>
      </c>
      <c r="G18">
        <f>IF(TRIM('BUILDER'!S24)&lt;&gt;"",'BUILDER'!S24,"not specified")</f>
        <v/>
      </c>
      <c r="H18">
        <f>IF(TRIM('BUILDER'!R24)&lt;&gt;"",'BUILDER'!R24,"unclassified")</f>
        <v/>
      </c>
      <c r="I18">
        <f>IF(TRIM('BUILDER'!T24)&lt;&gt;"",'BUILDER'!T24,"not specified")</f>
        <v/>
      </c>
      <c r="J18">
        <f>IF(TRIM('BUILDER'!U24)&lt;&gt;"",'BUILDER'!U24,"not specified")</f>
        <v/>
      </c>
      <c r="K18">
        <f>'BUILDER'!C24</f>
        <v/>
      </c>
      <c r="L18">
        <f>'BUILDER'!D24</f>
        <v/>
      </c>
      <c r="M18">
        <f>IF(TRIM('BUILDER'!E24)&lt;&gt;"",'BUILDER'!E24,'BUILDER'!M24)</f>
        <v/>
      </c>
      <c r="N18">
        <f>'BUILDER'!F24</f>
        <v/>
      </c>
      <c r="O18">
        <f>'BUILDER'!G24</f>
        <v/>
      </c>
      <c r="P18">
        <f>'BUILDER'!H24</f>
        <v/>
      </c>
      <c r="Q18">
        <f>'BUILDER'!I24</f>
        <v/>
      </c>
      <c r="R18" t="inlineStr"/>
      <c r="S18" t="inlineStr"/>
      <c r="T18" t="inlineStr"/>
      <c r="U18" t="inlineStr"/>
      <c r="V18" t="inlineStr"/>
      <c r="W18">
        <f>'BUILDER'!V24</f>
        <v/>
      </c>
      <c r="X18">
        <f>'BUILDER'!W24</f>
        <v/>
      </c>
      <c r="Y18">
        <f>'BUILDER'!X24</f>
        <v/>
      </c>
    </row>
    <row r="19">
      <c r="A19">
        <f>'BUILDER'!M25</f>
        <v/>
      </c>
      <c r="B19">
        <f>'BUILDER'!B25</f>
        <v/>
      </c>
      <c r="C19">
        <f>'BUILDER'!Q25</f>
        <v/>
      </c>
      <c r="D19">
        <f>'BUILDER'!A25</f>
        <v/>
      </c>
      <c r="E19">
        <f>IF(TRIM('BUILDER'!O25)&lt;&gt;"",'BUILDER'!O25,"not specified")</f>
        <v/>
      </c>
      <c r="F19">
        <f>IF(TRIM('BUILDER'!P25)&lt;&gt;"",'BUILDER'!P25,"not specified")</f>
        <v/>
      </c>
      <c r="G19">
        <f>IF(TRIM('BUILDER'!S25)&lt;&gt;"",'BUILDER'!S25,"not specified")</f>
        <v/>
      </c>
      <c r="H19">
        <f>IF(TRIM('BUILDER'!R25)&lt;&gt;"",'BUILDER'!R25,"unclassified")</f>
        <v/>
      </c>
      <c r="I19">
        <f>IF(TRIM('BUILDER'!T25)&lt;&gt;"",'BUILDER'!T25,"not specified")</f>
        <v/>
      </c>
      <c r="J19">
        <f>IF(TRIM('BUILDER'!U25)&lt;&gt;"",'BUILDER'!U25,"not specified")</f>
        <v/>
      </c>
      <c r="K19">
        <f>'BUILDER'!C25</f>
        <v/>
      </c>
      <c r="L19">
        <f>'BUILDER'!D25</f>
        <v/>
      </c>
      <c r="M19">
        <f>IF(TRIM('BUILDER'!E25)&lt;&gt;"",'BUILDER'!E25,'BUILDER'!M25)</f>
        <v/>
      </c>
      <c r="N19">
        <f>'BUILDER'!F25</f>
        <v/>
      </c>
      <c r="O19">
        <f>'BUILDER'!G25</f>
        <v/>
      </c>
      <c r="P19">
        <f>'BUILDER'!H25</f>
        <v/>
      </c>
      <c r="Q19">
        <f>'BUILDER'!I25</f>
        <v/>
      </c>
      <c r="R19" t="inlineStr"/>
      <c r="S19" t="inlineStr"/>
      <c r="T19" t="inlineStr"/>
      <c r="U19" t="inlineStr"/>
      <c r="V19" t="inlineStr"/>
      <c r="W19">
        <f>'BUILDER'!V25</f>
        <v/>
      </c>
      <c r="X19">
        <f>'BUILDER'!W25</f>
        <v/>
      </c>
      <c r="Y19">
        <f>'BUILDER'!X25</f>
        <v/>
      </c>
    </row>
    <row r="20">
      <c r="A20">
        <f>'BUILDER'!M26</f>
        <v/>
      </c>
      <c r="B20">
        <f>'BUILDER'!B26</f>
        <v/>
      </c>
      <c r="C20">
        <f>'BUILDER'!Q26</f>
        <v/>
      </c>
      <c r="D20">
        <f>'BUILDER'!A26</f>
        <v/>
      </c>
      <c r="E20">
        <f>IF(TRIM('BUILDER'!O26)&lt;&gt;"",'BUILDER'!O26,"not specified")</f>
        <v/>
      </c>
      <c r="F20">
        <f>IF(TRIM('BUILDER'!P26)&lt;&gt;"",'BUILDER'!P26,"not specified")</f>
        <v/>
      </c>
      <c r="G20">
        <f>IF(TRIM('BUILDER'!S26)&lt;&gt;"",'BUILDER'!S26,"not specified")</f>
        <v/>
      </c>
      <c r="H20">
        <f>IF(TRIM('BUILDER'!R26)&lt;&gt;"",'BUILDER'!R26,"unclassified")</f>
        <v/>
      </c>
      <c r="I20">
        <f>IF(TRIM('BUILDER'!T26)&lt;&gt;"",'BUILDER'!T26,"not specified")</f>
        <v/>
      </c>
      <c r="J20">
        <f>IF(TRIM('BUILDER'!U26)&lt;&gt;"",'BUILDER'!U26,"not specified")</f>
        <v/>
      </c>
      <c r="K20">
        <f>'BUILDER'!C26</f>
        <v/>
      </c>
      <c r="L20">
        <f>'BUILDER'!D26</f>
        <v/>
      </c>
      <c r="M20">
        <f>IF(TRIM('BUILDER'!E26)&lt;&gt;"",'BUILDER'!E26,'BUILDER'!M26)</f>
        <v/>
      </c>
      <c r="N20">
        <f>'BUILDER'!F26</f>
        <v/>
      </c>
      <c r="O20">
        <f>'BUILDER'!G26</f>
        <v/>
      </c>
      <c r="P20">
        <f>'BUILDER'!H26</f>
        <v/>
      </c>
      <c r="Q20">
        <f>'BUILDER'!I26</f>
        <v/>
      </c>
      <c r="R20" t="inlineStr"/>
      <c r="S20" t="inlineStr"/>
      <c r="T20" t="inlineStr"/>
      <c r="U20" t="inlineStr"/>
      <c r="V20" t="inlineStr"/>
      <c r="W20">
        <f>'BUILDER'!V26</f>
        <v/>
      </c>
      <c r="X20">
        <f>'BUILDER'!W26</f>
        <v/>
      </c>
      <c r="Y20">
        <f>'BUILDER'!X26</f>
        <v/>
      </c>
    </row>
    <row r="21">
      <c r="A21">
        <f>'BUILDER'!M27</f>
        <v/>
      </c>
      <c r="B21">
        <f>'BUILDER'!B27</f>
        <v/>
      </c>
      <c r="C21">
        <f>'BUILDER'!Q27</f>
        <v/>
      </c>
      <c r="D21">
        <f>'BUILDER'!A27</f>
        <v/>
      </c>
      <c r="E21">
        <f>IF(TRIM('BUILDER'!O27)&lt;&gt;"",'BUILDER'!O27,"not specified")</f>
        <v/>
      </c>
      <c r="F21">
        <f>IF(TRIM('BUILDER'!P27)&lt;&gt;"",'BUILDER'!P27,"not specified")</f>
        <v/>
      </c>
      <c r="G21">
        <f>IF(TRIM('BUILDER'!S27)&lt;&gt;"",'BUILDER'!S27,"not specified")</f>
        <v/>
      </c>
      <c r="H21">
        <f>IF(TRIM('BUILDER'!R27)&lt;&gt;"",'BUILDER'!R27,"unclassified")</f>
        <v/>
      </c>
      <c r="I21">
        <f>IF(TRIM('BUILDER'!T27)&lt;&gt;"",'BUILDER'!T27,"not specified")</f>
        <v/>
      </c>
      <c r="J21">
        <f>IF(TRIM('BUILDER'!U27)&lt;&gt;"",'BUILDER'!U27,"not specified")</f>
        <v/>
      </c>
      <c r="K21">
        <f>'BUILDER'!C27</f>
        <v/>
      </c>
      <c r="L21">
        <f>'BUILDER'!D27</f>
        <v/>
      </c>
      <c r="M21">
        <f>IF(TRIM('BUILDER'!E27)&lt;&gt;"",'BUILDER'!E27,'BUILDER'!M27)</f>
        <v/>
      </c>
      <c r="N21">
        <f>'BUILDER'!F27</f>
        <v/>
      </c>
      <c r="O21">
        <f>'BUILDER'!G27</f>
        <v/>
      </c>
      <c r="P21">
        <f>'BUILDER'!H27</f>
        <v/>
      </c>
      <c r="Q21">
        <f>'BUILDER'!I27</f>
        <v/>
      </c>
      <c r="R21" t="inlineStr"/>
      <c r="S21" t="inlineStr"/>
      <c r="T21" t="inlineStr"/>
      <c r="U21" t="inlineStr"/>
      <c r="V21" t="inlineStr"/>
      <c r="W21">
        <f>'BUILDER'!V27</f>
        <v/>
      </c>
      <c r="X21">
        <f>'BUILDER'!W27</f>
        <v/>
      </c>
      <c r="Y21">
        <f>'BUILDER'!X27</f>
        <v/>
      </c>
    </row>
    <row r="22">
      <c r="A22">
        <f>'BUILDER'!M28</f>
        <v/>
      </c>
      <c r="B22">
        <f>'BUILDER'!B28</f>
        <v/>
      </c>
      <c r="C22">
        <f>'BUILDER'!Q28</f>
        <v/>
      </c>
      <c r="D22">
        <f>'BUILDER'!A28</f>
        <v/>
      </c>
      <c r="E22">
        <f>IF(TRIM('BUILDER'!O28)&lt;&gt;"",'BUILDER'!O28,"not specified")</f>
        <v/>
      </c>
      <c r="F22">
        <f>IF(TRIM('BUILDER'!P28)&lt;&gt;"",'BUILDER'!P28,"not specified")</f>
        <v/>
      </c>
      <c r="G22">
        <f>IF(TRIM('BUILDER'!S28)&lt;&gt;"",'BUILDER'!S28,"not specified")</f>
        <v/>
      </c>
      <c r="H22">
        <f>IF(TRIM('BUILDER'!R28)&lt;&gt;"",'BUILDER'!R28,"unclassified")</f>
        <v/>
      </c>
      <c r="I22">
        <f>IF(TRIM('BUILDER'!T28)&lt;&gt;"",'BUILDER'!T28,"not specified")</f>
        <v/>
      </c>
      <c r="J22">
        <f>IF(TRIM('BUILDER'!U28)&lt;&gt;"",'BUILDER'!U28,"not specified")</f>
        <v/>
      </c>
      <c r="K22">
        <f>'BUILDER'!C28</f>
        <v/>
      </c>
      <c r="L22">
        <f>'BUILDER'!D28</f>
        <v/>
      </c>
      <c r="M22">
        <f>IF(TRIM('BUILDER'!E28)&lt;&gt;"",'BUILDER'!E28,'BUILDER'!M28)</f>
        <v/>
      </c>
      <c r="N22">
        <f>'BUILDER'!F28</f>
        <v/>
      </c>
      <c r="O22">
        <f>'BUILDER'!G28</f>
        <v/>
      </c>
      <c r="P22">
        <f>'BUILDER'!H28</f>
        <v/>
      </c>
      <c r="Q22">
        <f>'BUILDER'!I28</f>
        <v/>
      </c>
      <c r="R22" t="inlineStr"/>
      <c r="S22" t="inlineStr"/>
      <c r="T22" t="inlineStr"/>
      <c r="U22" t="inlineStr"/>
      <c r="V22" t="inlineStr"/>
      <c r="W22">
        <f>'BUILDER'!V28</f>
        <v/>
      </c>
      <c r="X22">
        <f>'BUILDER'!W28</f>
        <v/>
      </c>
      <c r="Y22">
        <f>'BUILDER'!X28</f>
        <v/>
      </c>
    </row>
    <row r="23">
      <c r="A23">
        <f>'BUILDER'!M29</f>
        <v/>
      </c>
      <c r="B23">
        <f>'BUILDER'!B29</f>
        <v/>
      </c>
      <c r="C23">
        <f>'BUILDER'!Q29</f>
        <v/>
      </c>
      <c r="D23">
        <f>'BUILDER'!A29</f>
        <v/>
      </c>
      <c r="E23">
        <f>IF(TRIM('BUILDER'!O29)&lt;&gt;"",'BUILDER'!O29,"not specified")</f>
        <v/>
      </c>
      <c r="F23">
        <f>IF(TRIM('BUILDER'!P29)&lt;&gt;"",'BUILDER'!P29,"not specified")</f>
        <v/>
      </c>
      <c r="G23">
        <f>IF(TRIM('BUILDER'!S29)&lt;&gt;"",'BUILDER'!S29,"not specified")</f>
        <v/>
      </c>
      <c r="H23">
        <f>IF(TRIM('BUILDER'!R29)&lt;&gt;"",'BUILDER'!R29,"unclassified")</f>
        <v/>
      </c>
      <c r="I23">
        <f>IF(TRIM('BUILDER'!T29)&lt;&gt;"",'BUILDER'!T29,"not specified")</f>
        <v/>
      </c>
      <c r="J23">
        <f>IF(TRIM('BUILDER'!U29)&lt;&gt;"",'BUILDER'!U29,"not specified")</f>
        <v/>
      </c>
      <c r="K23">
        <f>'BUILDER'!C29</f>
        <v/>
      </c>
      <c r="L23">
        <f>'BUILDER'!D29</f>
        <v/>
      </c>
      <c r="M23">
        <f>IF(TRIM('BUILDER'!E29)&lt;&gt;"",'BUILDER'!E29,'BUILDER'!M29)</f>
        <v/>
      </c>
      <c r="N23">
        <f>'BUILDER'!F29</f>
        <v/>
      </c>
      <c r="O23">
        <f>'BUILDER'!G29</f>
        <v/>
      </c>
      <c r="P23">
        <f>'BUILDER'!H29</f>
        <v/>
      </c>
      <c r="Q23">
        <f>'BUILDER'!I29</f>
        <v/>
      </c>
      <c r="R23" t="inlineStr"/>
      <c r="S23" t="inlineStr"/>
      <c r="T23" t="inlineStr"/>
      <c r="U23" t="inlineStr"/>
      <c r="V23" t="inlineStr"/>
      <c r="W23">
        <f>'BUILDER'!V29</f>
        <v/>
      </c>
      <c r="X23">
        <f>'BUILDER'!W29</f>
        <v/>
      </c>
      <c r="Y23">
        <f>'BUILDER'!X29</f>
        <v/>
      </c>
    </row>
    <row r="24">
      <c r="A24">
        <f>'BUILDER'!M30</f>
        <v/>
      </c>
      <c r="B24">
        <f>'BUILDER'!B30</f>
        <v/>
      </c>
      <c r="C24">
        <f>'BUILDER'!Q30</f>
        <v/>
      </c>
      <c r="D24">
        <f>'BUILDER'!A30</f>
        <v/>
      </c>
      <c r="E24">
        <f>IF(TRIM('BUILDER'!O30)&lt;&gt;"",'BUILDER'!O30,"not specified")</f>
        <v/>
      </c>
      <c r="F24">
        <f>IF(TRIM('BUILDER'!P30)&lt;&gt;"",'BUILDER'!P30,"not specified")</f>
        <v/>
      </c>
      <c r="G24">
        <f>IF(TRIM('BUILDER'!S30)&lt;&gt;"",'BUILDER'!S30,"not specified")</f>
        <v/>
      </c>
      <c r="H24">
        <f>IF(TRIM('BUILDER'!R30)&lt;&gt;"",'BUILDER'!R30,"unclassified")</f>
        <v/>
      </c>
      <c r="I24">
        <f>IF(TRIM('BUILDER'!T30)&lt;&gt;"",'BUILDER'!T30,"not specified")</f>
        <v/>
      </c>
      <c r="J24">
        <f>IF(TRIM('BUILDER'!U30)&lt;&gt;"",'BUILDER'!U30,"not specified")</f>
        <v/>
      </c>
      <c r="K24">
        <f>'BUILDER'!C30</f>
        <v/>
      </c>
      <c r="L24">
        <f>'BUILDER'!D30</f>
        <v/>
      </c>
      <c r="M24">
        <f>IF(TRIM('BUILDER'!E30)&lt;&gt;"",'BUILDER'!E30,'BUILDER'!M30)</f>
        <v/>
      </c>
      <c r="N24">
        <f>'BUILDER'!F30</f>
        <v/>
      </c>
      <c r="O24">
        <f>'BUILDER'!G30</f>
        <v/>
      </c>
      <c r="P24">
        <f>'BUILDER'!H30</f>
        <v/>
      </c>
      <c r="Q24">
        <f>'BUILDER'!I30</f>
        <v/>
      </c>
      <c r="R24" t="inlineStr"/>
      <c r="S24" t="inlineStr"/>
      <c r="T24" t="inlineStr"/>
      <c r="U24" t="inlineStr"/>
      <c r="V24" t="inlineStr"/>
      <c r="W24">
        <f>'BUILDER'!V30</f>
        <v/>
      </c>
      <c r="X24">
        <f>'BUILDER'!W30</f>
        <v/>
      </c>
      <c r="Y24">
        <f>'BUILDER'!X30</f>
        <v/>
      </c>
    </row>
    <row r="25">
      <c r="A25">
        <f>'BUILDER'!M31</f>
        <v/>
      </c>
      <c r="B25">
        <f>'BUILDER'!B31</f>
        <v/>
      </c>
      <c r="C25">
        <f>'BUILDER'!Q31</f>
        <v/>
      </c>
      <c r="D25">
        <f>'BUILDER'!A31</f>
        <v/>
      </c>
      <c r="E25">
        <f>IF(TRIM('BUILDER'!O31)&lt;&gt;"",'BUILDER'!O31,"not specified")</f>
        <v/>
      </c>
      <c r="F25">
        <f>IF(TRIM('BUILDER'!P31)&lt;&gt;"",'BUILDER'!P31,"not specified")</f>
        <v/>
      </c>
      <c r="G25">
        <f>IF(TRIM('BUILDER'!S31)&lt;&gt;"",'BUILDER'!S31,"not specified")</f>
        <v/>
      </c>
      <c r="H25">
        <f>IF(TRIM('BUILDER'!R31)&lt;&gt;"",'BUILDER'!R31,"unclassified")</f>
        <v/>
      </c>
      <c r="I25">
        <f>IF(TRIM('BUILDER'!T31)&lt;&gt;"",'BUILDER'!T31,"not specified")</f>
        <v/>
      </c>
      <c r="J25">
        <f>IF(TRIM('BUILDER'!U31)&lt;&gt;"",'BUILDER'!U31,"not specified")</f>
        <v/>
      </c>
      <c r="K25">
        <f>'BUILDER'!C31</f>
        <v/>
      </c>
      <c r="L25">
        <f>'BUILDER'!D31</f>
        <v/>
      </c>
      <c r="M25">
        <f>IF(TRIM('BUILDER'!E31)&lt;&gt;"",'BUILDER'!E31,'BUILDER'!M31)</f>
        <v/>
      </c>
      <c r="N25">
        <f>'BUILDER'!F31</f>
        <v/>
      </c>
      <c r="O25">
        <f>'BUILDER'!G31</f>
        <v/>
      </c>
      <c r="P25">
        <f>'BUILDER'!H31</f>
        <v/>
      </c>
      <c r="Q25">
        <f>'BUILDER'!I31</f>
        <v/>
      </c>
      <c r="R25" t="inlineStr"/>
      <c r="S25" t="inlineStr"/>
      <c r="T25" t="inlineStr"/>
      <c r="U25" t="inlineStr"/>
      <c r="V25" t="inlineStr"/>
      <c r="W25">
        <f>'BUILDER'!V31</f>
        <v/>
      </c>
      <c r="X25">
        <f>'BUILDER'!W31</f>
        <v/>
      </c>
      <c r="Y25">
        <f>'BUILDER'!X31</f>
        <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39"/>
  <sheetViews>
    <sheetView showGridLines="0" workbookViewId="0">
      <pane ySplit="1" topLeftCell="A2" activePane="bottomLeft" state="frozen"/>
      <selection pane="bottomLeft" activeCell="A1" sqref="A1"/>
    </sheetView>
  </sheetViews>
  <sheetFormatPr baseColWidth="8" defaultRowHeight="15"/>
  <cols>
    <col width="28" customWidth="1" min="1" max="1"/>
    <col width="26" customWidth="1" min="2" max="2"/>
    <col width="55" customWidth="1" min="3" max="3"/>
    <col width="48" customWidth="1" min="4" max="4"/>
  </cols>
  <sheetData>
    <row r="1">
      <c r="A1" s="5" t="inlineStr">
        <is>
          <t>Field</t>
        </is>
      </c>
      <c r="B1" s="5" t="inlineStr">
        <is>
          <t>Accepted value</t>
        </is>
      </c>
      <c r="C1" s="5" t="inlineStr">
        <is>
          <t>Plain-English meaning</t>
        </is>
      </c>
      <c r="D1" s="5" t="inlineStr">
        <is>
          <t>When to use</t>
        </is>
      </c>
    </row>
    <row r="2">
      <c r="A2" s="4" t="inlineStr">
        <is>
          <t>activity_ownership</t>
        </is>
      </c>
      <c r="B2" s="4" t="inlineStr">
        <is>
          <t>paid</t>
        </is>
      </c>
      <c r="C2" s="4" t="inlineStr">
        <is>
          <t>Who controls or supplies the activity.</t>
        </is>
      </c>
      <c r="D2" s="4" t="inlineStr">
        <is>
          <t>Always -- keeps paid, owned, earned, and events distinct.</t>
        </is>
      </c>
    </row>
    <row r="3">
      <c r="A3" s="4" t="inlineStr">
        <is>
          <t>activity_ownership</t>
        </is>
      </c>
      <c r="B3" s="4" t="inlineStr">
        <is>
          <t>owned</t>
        </is>
      </c>
      <c r="C3" s="4" t="inlineStr">
        <is>
          <t>Who controls or supplies the activity.</t>
        </is>
      </c>
      <c r="D3" s="4" t="inlineStr">
        <is>
          <t>Always -- keeps paid, owned, earned, and events distinct.</t>
        </is>
      </c>
    </row>
    <row r="4">
      <c r="A4" s="4" t="inlineStr">
        <is>
          <t>activity_ownership</t>
        </is>
      </c>
      <c r="B4" s="4" t="inlineStr">
        <is>
          <t>earned</t>
        </is>
      </c>
      <c r="C4" s="4" t="inlineStr">
        <is>
          <t>Who controls or supplies the activity.</t>
        </is>
      </c>
      <c r="D4" s="4" t="inlineStr">
        <is>
          <t>Always -- keeps paid, owned, earned, and events distinct.</t>
        </is>
      </c>
    </row>
    <row r="5">
      <c r="A5" s="4" t="inlineStr">
        <is>
          <t>activity_ownership</t>
        </is>
      </c>
      <c r="B5" s="4" t="inlineStr">
        <is>
          <t>external_event</t>
        </is>
      </c>
      <c r="C5" s="4" t="inlineStr">
        <is>
          <t>Who controls or supplies the activity.</t>
        </is>
      </c>
      <c r="D5" s="4" t="inlineStr">
        <is>
          <t>Always -- keeps paid, owned, earned, and events distinct.</t>
        </is>
      </c>
    </row>
    <row r="6">
      <c r="A6" s="4" t="inlineStr">
        <is>
          <t>intended_model_role</t>
        </is>
      </c>
      <c r="B6" s="4" t="inlineStr">
        <is>
          <t>mediator</t>
        </is>
      </c>
      <c r="C6" s="4" t="inlineStr">
        <is>
          <t>Intended role in the model.</t>
        </is>
      </c>
      <c r="D6" s="4" t="inlineStr">
        <is>
          <t>Always -- separates treatments, controls, mediators, and demand capture.</t>
        </is>
      </c>
    </row>
    <row r="7">
      <c r="A7" s="4" t="inlineStr">
        <is>
          <t>intended_model_role</t>
        </is>
      </c>
      <c r="B7" s="4" t="inlineStr">
        <is>
          <t>event</t>
        </is>
      </c>
      <c r="C7" s="4" t="inlineStr">
        <is>
          <t>Intended role in the model.</t>
        </is>
      </c>
      <c r="D7" s="4" t="inlineStr">
        <is>
          <t>Always -- separates treatments, controls, mediators, and demand capture.</t>
        </is>
      </c>
    </row>
    <row r="8">
      <c r="A8" s="4" t="inlineStr">
        <is>
          <t>intended_model_role</t>
        </is>
      </c>
      <c r="B8" s="4" t="inlineStr">
        <is>
          <t>demand_capture</t>
        </is>
      </c>
      <c r="C8" s="4" t="inlineStr">
        <is>
          <t>Intended role in the model.</t>
        </is>
      </c>
      <c r="D8" s="4" t="inlineStr">
        <is>
          <t>Always -- separates treatments, controls, mediators, and demand capture.</t>
        </is>
      </c>
    </row>
    <row r="9">
      <c r="A9" s="4" t="inlineStr">
        <is>
          <t>intended_model_role</t>
        </is>
      </c>
      <c r="B9" s="4" t="inlineStr">
        <is>
          <t>control</t>
        </is>
      </c>
      <c r="C9" s="4" t="inlineStr">
        <is>
          <t>Intended role in the model.</t>
        </is>
      </c>
      <c r="D9" s="4" t="inlineStr">
        <is>
          <t>Always -- separates treatments, controls, mediators, and demand capture.</t>
        </is>
      </c>
    </row>
    <row r="10">
      <c r="A10" s="4" t="inlineStr">
        <is>
          <t>intended_model_role</t>
        </is>
      </c>
      <c r="B10" s="4" t="inlineStr">
        <is>
          <t>intervention</t>
        </is>
      </c>
      <c r="C10" s="4" t="inlineStr">
        <is>
          <t>Intended role in the model.</t>
        </is>
      </c>
      <c r="D10" s="4" t="inlineStr">
        <is>
          <t>Always -- separates treatments, controls, mediators, and demand capture.</t>
        </is>
      </c>
    </row>
    <row r="11">
      <c r="A11" s="4" t="inlineStr">
        <is>
          <t>economic_treatment</t>
        </is>
      </c>
      <c r="B11" s="4" t="inlineStr">
        <is>
          <t>paid_media_cost</t>
        </is>
      </c>
      <c r="C11" s="4" t="inlineStr">
        <is>
          <t>How cost/value is treated.</t>
        </is>
      </c>
      <c r="D11" s="4" t="inlineStr">
        <is>
          <t>Always -- keeps economics separate from physical measurement.</t>
        </is>
      </c>
    </row>
    <row r="12">
      <c r="A12" s="4" t="inlineStr">
        <is>
          <t>economic_treatment</t>
        </is>
      </c>
      <c r="B12" s="4" t="inlineStr">
        <is>
          <t>fully_loaded_cost</t>
        </is>
      </c>
      <c r="C12" s="4" t="inlineStr">
        <is>
          <t>How cost/value is treated.</t>
        </is>
      </c>
      <c r="D12" s="4" t="inlineStr">
        <is>
          <t>Always -- keeps economics separate from physical measurement.</t>
        </is>
      </c>
    </row>
    <row r="13">
      <c r="A13" s="4" t="inlineStr">
        <is>
          <t>economic_treatment</t>
        </is>
      </c>
      <c r="B13" s="4" t="inlineStr">
        <is>
          <t>not_applicable</t>
        </is>
      </c>
      <c r="C13" s="4" t="inlineStr">
        <is>
          <t>How cost/value is treated.</t>
        </is>
      </c>
      <c r="D13" s="4" t="inlineStr">
        <is>
          <t>Always -- keeps economics separate from physical measurement.</t>
        </is>
      </c>
    </row>
    <row r="14">
      <c r="A14" s="4" t="inlineStr">
        <is>
          <t>economic_treatment</t>
        </is>
      </c>
      <c r="B14" s="4" t="inlineStr">
        <is>
          <t>response_only</t>
        </is>
      </c>
      <c r="C14" s="4" t="inlineStr">
        <is>
          <t>How cost/value is treated.</t>
        </is>
      </c>
      <c r="D14" s="4" t="inlineStr">
        <is>
          <t>Always -- keeps economics separate from physical measurement.</t>
        </is>
      </c>
    </row>
    <row r="15">
      <c r="A15" s="4" t="inlineStr">
        <is>
          <t>economic_treatment</t>
        </is>
      </c>
      <c r="B15" s="4" t="inlineStr">
        <is>
          <t>campaign_cost</t>
        </is>
      </c>
      <c r="C15" s="4" t="inlineStr">
        <is>
          <t>How cost/value is treated.</t>
        </is>
      </c>
      <c r="D15" s="4" t="inlineStr">
        <is>
          <t>Always -- keeps economics separate from physical measurement.</t>
        </is>
      </c>
    </row>
    <row r="16">
      <c r="A16" s="4" t="inlineStr">
        <is>
          <t>planning_eligibility</t>
        </is>
      </c>
      <c r="B16" s="4" t="inlineStr">
        <is>
          <t>optimisable</t>
        </is>
      </c>
      <c r="C16" s="4" t="inlineStr">
        <is>
          <t>Whether planning or optimisation may use the activity.</t>
        </is>
      </c>
      <c r="D16" s="4" t="inlineStr">
        <is>
          <t>Always -- fit does not automatically grant planning rights.</t>
        </is>
      </c>
    </row>
    <row r="17">
      <c r="A17" s="4" t="inlineStr">
        <is>
          <t>planning_eligibility</t>
        </is>
      </c>
      <c r="B17" s="4" t="inlineStr">
        <is>
          <t>excluded</t>
        </is>
      </c>
      <c r="C17" s="4" t="inlineStr">
        <is>
          <t>Whether planning or optimisation may use the activity.</t>
        </is>
      </c>
      <c r="D17" s="4" t="inlineStr">
        <is>
          <t>Always -- fit does not automatically grant planning rights.</t>
        </is>
      </c>
    </row>
    <row r="18">
      <c r="A18" s="4" t="inlineStr">
        <is>
          <t>planning_eligibility</t>
        </is>
      </c>
      <c r="B18" s="4" t="inlineStr">
        <is>
          <t>fixed</t>
        </is>
      </c>
      <c r="C18" s="4" t="inlineStr">
        <is>
          <t>Whether planning or optimisation may use the activity.</t>
        </is>
      </c>
      <c r="D18" s="4" t="inlineStr">
        <is>
          <t>Always -- fit does not automatically grant planning rights.</t>
        </is>
      </c>
    </row>
    <row r="19">
      <c r="A19" s="4" t="inlineStr">
        <is>
          <t>planning_eligibility</t>
        </is>
      </c>
      <c r="B19" s="4" t="inlineStr">
        <is>
          <t>scenario_only</t>
        </is>
      </c>
      <c r="C19" s="4" t="inlineStr">
        <is>
          <t>Whether planning or optimisation may use the activity.</t>
        </is>
      </c>
      <c r="D19" s="4" t="inlineStr">
        <is>
          <t>Always -- fit does not automatically grant planning rights.</t>
        </is>
      </c>
    </row>
    <row r="20">
      <c r="A20" s="4" t="inlineStr">
        <is>
          <t>funnel_stage</t>
        </is>
      </c>
      <c r="B20" s="4" t="inlineStr">
        <is>
          <t>brand_upper</t>
        </is>
      </c>
      <c r="C20" s="4" t="inlineStr">
        <is>
          <t>Approved funnel position (reporting only).</t>
        </is>
      </c>
      <c r="D20" s="4" t="inlineStr">
        <is>
          <t>Only if you track funnel-stage reporting.</t>
        </is>
      </c>
    </row>
    <row r="21">
      <c r="A21" s="4" t="inlineStr">
        <is>
          <t>funnel_stage</t>
        </is>
      </c>
      <c r="B21" s="4" t="inlineStr">
        <is>
          <t>mid_funnel</t>
        </is>
      </c>
      <c r="C21" s="4" t="inlineStr">
        <is>
          <t>Approved funnel position (reporting only).</t>
        </is>
      </c>
      <c r="D21" s="4" t="inlineStr">
        <is>
          <t>Only if you track funnel-stage reporting.</t>
        </is>
      </c>
    </row>
    <row r="22">
      <c r="A22" s="4" t="inlineStr">
        <is>
          <t>funnel_stage</t>
        </is>
      </c>
      <c r="B22" s="4" t="inlineStr">
        <is>
          <t>performance_lower</t>
        </is>
      </c>
      <c r="C22" s="4" t="inlineStr">
        <is>
          <t>Approved funnel position (reporting only).</t>
        </is>
      </c>
      <c r="D22" s="4" t="inlineStr">
        <is>
          <t>Only if you track funnel-stage reporting.</t>
        </is>
      </c>
    </row>
    <row r="23">
      <c r="A23" s="4" t="inlineStr">
        <is>
          <t>funnel_stage</t>
        </is>
      </c>
      <c r="B23" s="4" t="inlineStr">
        <is>
          <t>cross_funnel</t>
        </is>
      </c>
      <c r="C23" s="4" t="inlineStr">
        <is>
          <t>Approved funnel position (reporting only).</t>
        </is>
      </c>
      <c r="D23" s="4" t="inlineStr">
        <is>
          <t>Only if you track funnel-stage reporting.</t>
        </is>
      </c>
    </row>
    <row r="24">
      <c r="A24" s="4" t="inlineStr">
        <is>
          <t>funnel_stage</t>
        </is>
      </c>
      <c r="B24" s="4" t="inlineStr">
        <is>
          <t>not_applicable</t>
        </is>
      </c>
      <c r="C24" s="4" t="inlineStr">
        <is>
          <t>Approved funnel position (reporting only).</t>
        </is>
      </c>
      <c r="D24" s="4" t="inlineStr">
        <is>
          <t>Only if you track funnel-stage reporting.</t>
        </is>
      </c>
    </row>
    <row r="25">
      <c r="A25" s="4" t="inlineStr">
        <is>
          <t>funnel_stage</t>
        </is>
      </c>
      <c r="B25" s="4" t="inlineStr">
        <is>
          <t>unclassified</t>
        </is>
      </c>
      <c r="C25" s="4" t="inlineStr">
        <is>
          <t>Approved funnel position (reporting only).</t>
        </is>
      </c>
      <c r="D25" s="4" t="inlineStr">
        <is>
          <t>Only if you track funnel-stage reporting.</t>
        </is>
      </c>
    </row>
    <row r="26">
      <c r="A26" s="4" t="inlineStr">
        <is>
          <t>platform</t>
        </is>
      </c>
      <c r="B26" s="4" t="inlineStr">
        <is>
          <t>Google / Bing</t>
        </is>
      </c>
      <c r="C26" s="4" t="inlineStr">
        <is>
          <t>Suggested values only -- not a closed enum in the app.</t>
        </is>
      </c>
      <c r="D26" s="4" t="inlineStr">
        <is>
          <t>Free text is also accepted; use whatever platform actually applies, including non-Search channels like TV or a broadcaster name.</t>
        </is>
      </c>
    </row>
    <row r="27">
      <c r="A27" s="4" t="inlineStr">
        <is>
          <t>campaign_type</t>
        </is>
      </c>
      <c r="B27" s="4" t="inlineStr">
        <is>
          <t>Brand / Non-Brand</t>
        </is>
      </c>
      <c r="C27" s="4" t="inlineStr">
        <is>
          <t>Suggested values only -- not a closed enum in the app.</t>
        </is>
      </c>
      <c r="D27" s="4" t="inlineStr">
        <is>
          <t>Free text is also accepted; the app never rejects an unrecognised value.</t>
        </is>
      </c>
    </row>
    <row r="28">
      <c r="A28" s="4" t="inlineStr">
        <is>
          <t>marketing_objective</t>
        </is>
      </c>
      <c r="B28" s="4" t="inlineStr">
        <is>
          <t>brand awareness, consideration, acquisition/performance, retention/lifecycle, promotion, winback, service/transactional, other</t>
        </is>
      </c>
      <c r="C28" s="4" t="inlineStr">
        <is>
          <t>Suggested values only -- not a closed enum in the app.</t>
        </is>
      </c>
      <c r="D28" s="4" t="inlineStr">
        <is>
          <t>Free text is also accepted.</t>
        </is>
      </c>
    </row>
    <row r="29">
      <c r="A29" s="4" t="inlineStr">
        <is>
          <t>search_platform / search_intent_group_id</t>
        </is>
      </c>
      <c r="B29" s="4" t="inlineStr">
        <is>
          <t>Not offered by this builder</t>
        </is>
      </c>
      <c r="C29" s="4" t="inlineStr">
        <is>
          <t>Not activity_dictionary columns today -- the standard upload doesn't map them.</t>
        </is>
      </c>
      <c r="D29" s="4" t="inlineStr">
        <is>
          <t>Configured separately, after upload, in the governed Search-taxonomy admin mapping. Use platform and campaign_type above to keep your activity_id readable in the meantime.</t>
        </is>
      </c>
    </row>
    <row r="30">
      <c r="A30" s="4" t="inlineStr">
        <is>
          <t>channel</t>
        </is>
      </c>
      <c r="B30" s="4" t="inlineStr">
        <is>
          <t>Free text — no fixed list</t>
        </is>
      </c>
      <c r="C30" s="4" t="inlineStr">
        <is>
          <t>Not a governed enum.</t>
        </is>
      </c>
      <c r="D30" s="4" t="inlineStr">
        <is>
          <t>Enter as plain text; there is no dropdown.</t>
        </is>
      </c>
    </row>
    <row r="31">
      <c r="A31" s="4" t="inlineStr">
        <is>
          <t>market</t>
        </is>
      </c>
      <c r="B31" s="4" t="inlineStr">
        <is>
          <t>Free text — no fixed list</t>
        </is>
      </c>
      <c r="C31" s="4" t="inlineStr">
        <is>
          <t>Not a governed enum.</t>
        </is>
      </c>
      <c r="D31" s="4" t="inlineStr">
        <is>
          <t>Enter as plain text; there is no dropdown.</t>
        </is>
      </c>
    </row>
    <row r="32">
      <c r="A32" s="4" t="inlineStr">
        <is>
          <t>source</t>
        </is>
      </c>
      <c r="B32" s="4" t="inlineStr">
        <is>
          <t>Free text — no fixed list</t>
        </is>
      </c>
      <c r="C32" s="4" t="inlineStr">
        <is>
          <t>Not a governed enum.</t>
        </is>
      </c>
      <c r="D32" s="4" t="inlineStr">
        <is>
          <t>Enter as plain text; there is no dropdown.</t>
        </is>
      </c>
    </row>
    <row r="33">
      <c r="A33" s="4" t="inlineStr">
        <is>
          <t>model_input_measure</t>
        </is>
      </c>
      <c r="B33" s="4" t="inlineStr">
        <is>
          <t>Free text — no fixed list</t>
        </is>
      </c>
      <c r="C33" s="4" t="inlineStr">
        <is>
          <t>Not a governed enum.</t>
        </is>
      </c>
      <c r="D33" s="4" t="inlineStr">
        <is>
          <t>Enter as plain text; there is no dropdown.</t>
        </is>
      </c>
    </row>
    <row r="34">
      <c r="A34" s="4" t="inlineStr">
        <is>
          <t>product_advertised</t>
        </is>
      </c>
      <c r="B34" s="4" t="inlineStr">
        <is>
          <t>Free text — no fixed list</t>
        </is>
      </c>
      <c r="C34" s="4" t="inlineStr">
        <is>
          <t>Not a governed enum.</t>
        </is>
      </c>
      <c r="D34" s="4" t="inlineStr">
        <is>
          <t>Enter as plain text; there is no dropdown.</t>
        </is>
      </c>
    </row>
    <row r="35">
      <c r="A35" s="4" t="inlineStr">
        <is>
          <t>message_type</t>
        </is>
      </c>
      <c r="B35" s="4" t="inlineStr">
        <is>
          <t>Free text — no fixed list</t>
        </is>
      </c>
      <c r="C35" s="4" t="inlineStr">
        <is>
          <t>Not a governed enum.</t>
        </is>
      </c>
      <c r="D35" s="4" t="inlineStr">
        <is>
          <t>Enter as plain text; there is no dropdown.</t>
        </is>
      </c>
    </row>
    <row r="36">
      <c r="A36" s="4" t="inlineStr">
        <is>
          <t>pooling_group_id</t>
        </is>
      </c>
      <c r="B36" s="4" t="inlineStr">
        <is>
          <t>Free text — no fixed list</t>
        </is>
      </c>
      <c r="C36" s="4" t="inlineStr">
        <is>
          <t>Not a governed enum.</t>
        </is>
      </c>
      <c r="D36" s="4" t="inlineStr">
        <is>
          <t>Enter as plain text; there is no dropdown.</t>
        </is>
      </c>
    </row>
    <row r="37">
      <c r="A37" s="4" t="inlineStr">
        <is>
          <t>currency</t>
        </is>
      </c>
      <c r="B37" s="4" t="inlineStr">
        <is>
          <t>Free text — no fixed list</t>
        </is>
      </c>
      <c r="C37" s="4" t="inlineStr">
        <is>
          <t>Not a governed enum.</t>
        </is>
      </c>
      <c r="D37" s="4" t="inlineStr">
        <is>
          <t>Enter as plain text; there is no dropdown.</t>
        </is>
      </c>
    </row>
    <row r="38">
      <c r="A38" s="4" t="inlineStr">
        <is>
          <t>effective_from</t>
        </is>
      </c>
      <c r="B38" s="4" t="inlineStr">
        <is>
          <t>Free text — no fixed list</t>
        </is>
      </c>
      <c r="C38" s="4" t="inlineStr">
        <is>
          <t>Not a governed enum.</t>
        </is>
      </c>
      <c r="D38" s="4" t="inlineStr">
        <is>
          <t>Enter as plain text; there is no dropdown.</t>
        </is>
      </c>
    </row>
    <row r="39">
      <c r="A39" s="4" t="inlineStr">
        <is>
          <t>effective_to</t>
        </is>
      </c>
      <c r="B39" s="4" t="inlineStr">
        <is>
          <t>Free text — no fixed list</t>
        </is>
      </c>
      <c r="C39" s="4" t="inlineStr">
        <is>
          <t>Not a governed enum.</t>
        </is>
      </c>
      <c r="D39" s="4" t="inlineStr">
        <is>
          <t>Enter as plain text; there is no dropdown.</t>
        </is>
      </c>
    </row>
  </sheetData>
  <autoFilter ref="A1:D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showGridLines="0" workbookViewId="0">
      <selection activeCell="A1" sqref="A1"/>
    </sheetView>
  </sheetViews>
  <sheetFormatPr baseColWidth="8" defaultRowHeight="15"/>
  <cols>
    <col width="46" customWidth="1" min="1" max="1"/>
    <col width="46" customWidth="1" min="2" max="2"/>
    <col width="46" customWidth="1" min="3" max="3"/>
    <col width="46" customWidth="1" min="4" max="4"/>
  </cols>
  <sheetData>
    <row r="1">
      <c r="A1" s="5" t="inlineStr">
        <is>
          <t>Check</t>
        </is>
      </c>
      <c r="B1" s="5" t="inlineStr">
        <is>
          <t>Good</t>
        </is>
      </c>
      <c r="C1" s="5" t="inlineStr">
        <is>
          <t>Invalid / risky</t>
        </is>
      </c>
      <c r="D1" s="5" t="inlineStr">
        <is>
          <t>Reason</t>
        </is>
      </c>
    </row>
    <row r="2">
      <c r="A2" s="4" t="inlineStr">
        <is>
          <t>Raw vs model-ready</t>
        </is>
      </c>
      <c r="B2" s="4" t="inlineStr">
        <is>
          <t>model_input_measure=spend; model_input_column=uk_paid_search_google_brand</t>
        </is>
      </c>
      <c r="C2" s="4" t="inlineStr">
        <is>
          <t>model_input_measure=uk_paid_search_google_brand</t>
        </is>
      </c>
      <c r="D2" s="4" t="inlineStr">
        <is>
          <t>The first is a raw source header; the second is a destination.</t>
        </is>
      </c>
    </row>
    <row r="3">
      <c r="A3" s="4" t="inlineStr">
        <is>
          <t>Search leaves</t>
        </is>
      </c>
      <c r="B3" s="4" t="inlineStr">
        <is>
          <t>Google Brand, Bing Brand, Google Non-Brand, Bing Non-Brand</t>
        </is>
      </c>
      <c r="C3" s="4" t="inlineStr">
        <is>
          <t>One generic Brand Search activity</t>
        </is>
      </c>
      <c r="D3" s="4" t="inlineStr">
        <is>
          <t>Parent totals are calculated from explicit leaves.</t>
        </is>
      </c>
    </row>
    <row r="4">
      <c r="A4" s="4" t="inlineStr">
        <is>
          <t>Identity</t>
        </is>
      </c>
      <c r="B4" s="4" t="inlineStr">
        <is>
          <t>paid_search_google_brand</t>
        </is>
      </c>
      <c r="C4" s="4" t="inlineStr">
        <is>
          <t>paid_search_2026_01_05_uk_12345</t>
        </is>
      </c>
      <c r="D4" s="4" t="inlineStr">
        <is>
          <t>Do not encode time or random numbers into stable identity.</t>
        </is>
      </c>
    </row>
    <row r="5">
      <c r="A5" s="4" t="inlineStr">
        <is>
          <t>Capacity</t>
        </is>
      </c>
      <c r="B5" s="4" t="inlineStr">
        <is>
          <t>paid_search_cap as separate governed cap</t>
        </is>
      </c>
      <c r="C5" s="4" t="inlineStr">
        <is>
          <t>cap copied into spend</t>
        </is>
      </c>
      <c r="D5" s="4" t="inlineStr">
        <is>
          <t>A cap is a constraint, not realised spend.</t>
        </is>
      </c>
    </row>
    <row r="6">
      <c r="A6" s="4" t="inlineStr">
        <is>
          <t>Measures</t>
        </is>
      </c>
      <c r="B6" s="4" t="inlineStr">
        <is>
          <t>spend + clicks + impressions retained; one selected input</t>
        </is>
      </c>
      <c r="C6" s="4" t="inlineStr">
        <is>
          <t>all measures silently summed</t>
        </is>
      </c>
      <c r="D6" s="4" t="inlineStr">
        <is>
          <t>Raw measures have different meanings and units.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2026-09-08T08:16:33Z</dcterms:created>
  <dcterms:modified xsi:type="dcterms:W3CDTF">2026-09-08T08:16:33Z</dcterms:modified>
</cp:coreProperties>
</file>