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BUILDER" sheetId="2" state="visible" r:id="rId2"/>
    <sheet name="DICTIONARY_OUTPUT" sheetId="3" state="visible" r:id="rId3"/>
    <sheet name="ALLOWED_VALUES" sheetId="4" state="visible" r:id="rId4"/>
    <sheet name="EXAMPLES" sheetId="5" state="visible" r:id="rId5"/>
  </sheets>
  <definedNames>
    <definedName name="_xlnm._FilterDatabase" localSheetId="3" hidden="1">'ALLOWED_VALUES'!$A$1:$D$54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2304A"/>
      <sz val="18"/>
    </font>
    <font>
      <i val="1"/>
      <color rgb="005D6B78"/>
    </font>
    <font>
      <b val="1"/>
      <color rgb="0012304A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8C6A00"/>
      </patternFill>
    </fill>
    <fill>
      <patternFill patternType="solid">
        <fgColor rgb="005D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3F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OutcomeCandidates" displayName="OutcomeCandidates" ref="A7:AF32" headerRowCount="1">
  <autoFilter ref="A7:AF32"/>
  <tableColumns count="32">
    <tableColumn id="1" name="product"/>
    <tableColumn id="2" name="metric_key"/>
    <tableColumn id="3" name="segment"/>
    <tableColumn id="4" name="metric"/>
    <tableColumn id="5" name="source_column"/>
    <tableColumn id="6" name="outcome_id (existing)"/>
    <tableColumn id="7" name="Manual override"/>
    <tableColumn id="8" name="Generated ID"/>
    <tableColumn id="9" name="Final ID"/>
    <tableColumn id="10" name="Row status"/>
    <tableColumn id="11" name="segment_dimension"/>
    <tableColumn id="12" name="outcome_group_id"/>
    <tableColumn id="13" name="outcome_group_label"/>
    <tableColumn id="14" name="outcome_family_key"/>
    <tableColumn id="15" name="group_aggregation"/>
    <tableColumn id="16" name="role"/>
    <tableColumn id="17" name="included_in_fit"/>
    <tableColumn id="18" name="include_in_default_reporting"/>
    <tableColumn id="19" name="include_in_official_total"/>
    <tableColumn id="20" name="include_in_value"/>
    <tableColumn id="21" name="include_in_optimisation"/>
    <tableColumn id="22" name="value_weight"/>
    <tableColumn id="23" name="value_currency"/>
    <tableColumn id="24" name="definition_version"/>
    <tableColumn id="25" name="event_definition"/>
    <tableColumn id="26" name="cohort_or_attribution_basis"/>
    <tableColumn id="27" name="completeness_or_maturity_policy"/>
    <tableColumn id="28" name="exclusions"/>
    <tableColumn id="29" name="reconciliation_source"/>
    <tableColumn id="30" name="business_owner"/>
    <tableColumn id="31" name="effective_from"/>
    <tableColumn id="32" name="effective_t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ictionaryOutput" displayName="DictionaryOutput" ref="A1:AD26" headerRowCount="1">
  <autoFilter ref="A1:AD26"/>
  <tableColumns count="30">
    <tableColumn id="1" name="outcome_id"/>
    <tableColumn id="2" name="source_column"/>
    <tableColumn id="3" name="product"/>
    <tableColumn id="4" name="metric_key"/>
    <tableColumn id="5" name="metric"/>
    <tableColumn id="6" name="segment_dimension"/>
    <tableColumn id="7" name="segment"/>
    <tableColumn id="8" name="outcome_group_id"/>
    <tableColumn id="9" name="outcome_group_label"/>
    <tableColumn id="10" name="outcome_family_key"/>
    <tableColumn id="11" name="group_aggregation"/>
    <tableColumn id="12" name="unit"/>
    <tableColumn id="13" name="aggregation_type"/>
    <tableColumn id="14" name="role"/>
    <tableColumn id="15" name="included_in_fit"/>
    <tableColumn id="16" name="include_in_default_reporting"/>
    <tableColumn id="17" name="include_in_official_total"/>
    <tableColumn id="18" name="include_in_value"/>
    <tableColumn id="19" name="include_in_optimisation"/>
    <tableColumn id="20" name="definition_version"/>
    <tableColumn id="21" name="event_definition"/>
    <tableColumn id="22" name="cohort_or_attribution_basis"/>
    <tableColumn id="23" name="completeness_or_maturity_policy"/>
    <tableColumn id="24" name="exclusions"/>
    <tableColumn id="25" name="reconciliation_source"/>
    <tableColumn id="26" name="business_owner"/>
    <tableColumn id="27" name="effective_from"/>
    <tableColumn id="28" name="effective_to"/>
    <tableColumn id="29" name="value_weight"/>
    <tableColumn id="30" name="value_currenc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Outcome / KPI Dictionary Builder</t>
        </is>
      </c>
    </row>
    <row r="2">
      <c r="A2" s="2" t="inlineStr">
        <is>
          <t>Formula-driven, no VBA -- builds a complete outcome_dictionary row and its outcome_id</t>
        </is>
      </c>
    </row>
    <row r="4">
      <c r="A4" s="3" t="inlineStr">
        <is>
          <t>What this builder is for</t>
        </is>
      </c>
    </row>
    <row r="5">
      <c r="A5" s="4" t="inlineStr">
        <is>
          <t>Use this workbook to define one row per KPI (outcome) you want the model to explain -- things like GSA, sign-ups, or Net Bill Through, split by segment.</t>
        </is>
      </c>
    </row>
    <row r="6">
      <c r="A6" s="4" t="inlineStr">
        <is>
          <t>It asks only for the choices you genuinely have to make, builds a stable outcome_id for you, and produces a clean row ready to paste into the outcome_dictionary sheet of the standard Outcomes upload workbook.</t>
        </is>
      </c>
    </row>
    <row r="8">
      <c r="A8" s="3" t="inlineStr">
        <is>
          <t>What you need to fill in</t>
        </is>
      </c>
    </row>
    <row r="9">
      <c r="A9" s="4" t="inlineStr">
        <is>
          <t>Go to the BUILDER sheet. Fill in product, metric_key, segment, and metric for every KPI row -- these are the fields outcome_id is built from.</t>
        </is>
      </c>
    </row>
    <row r="10">
      <c r="A10" s="4" t="inlineStr">
        <is>
          <t>Only fill in the amber (Fields you may need) columns if they apply: outcome grouping, eligibility overrides, or value reporting. Leave them blank otherwise -- the app already has sensible defaults.</t>
        </is>
      </c>
    </row>
    <row r="11">
      <c r="A11" s="4" t="inlineStr">
        <is>
          <t>Only fill in the grey (official-approval) columns once you are ready to get this outcome approved for production reporting.</t>
        </is>
      </c>
    </row>
    <row r="13">
      <c r="A13" s="3" t="inlineStr">
        <is>
          <t>What is generated automatically</t>
        </is>
      </c>
    </row>
    <row r="14">
      <c r="A14" s="4" t="inlineStr">
        <is>
          <t>Generated ID -- built from product + metric_key + segment.</t>
        </is>
      </c>
    </row>
    <row r="15">
      <c r="A15" s="4" t="inlineStr">
        <is>
          <t>Final ID -- the Generated ID, unless you type something in Manual override.</t>
        </is>
      </c>
    </row>
    <row r="16">
      <c r="A16" s="4" t="inlineStr">
        <is>
          <t>Row status -- plain-English text telling you if the row is Ready, missing something, or a duplicate.</t>
        </is>
      </c>
    </row>
    <row r="17">
      <c r="A17" s="4" t="inlineStr">
        <is>
          <t>The DICTIONARY_OUTPUT sheet -- every column the upload expects, in the right order, computed live from your BUILDER entries.</t>
        </is>
      </c>
    </row>
    <row r="19">
      <c r="A19" s="3" t="inlineStr">
        <is>
          <t>What is required, conditional, and optional</t>
        </is>
      </c>
    </row>
    <row r="20">
      <c r="A20" s="4" t="inlineStr">
        <is>
          <t>Required (white columns): product, metric_key, segment, metric.</t>
        </is>
      </c>
    </row>
    <row r="21">
      <c r="A21" s="4" t="inlineStr">
        <is>
          <t>Conditional (amber columns, fill in only when it applies): segment_dimension, the four outcome-group fields, role and the five eligibility switches, value_weight/value_currency.</t>
        </is>
      </c>
    </row>
    <row r="22">
      <c r="A22" s="4" t="inlineStr">
        <is>
          <t>Optional / advanced (grey columns, official approval only): definition_version, event_definition, cohort_or_attribution_basis, completeness_or_maturity_policy, exclusions, reconciliation_source, business_owner, effective_from, effective_to.</t>
        </is>
      </c>
    </row>
    <row r="23">
      <c r="A23" s="4" t="inlineStr">
        <is>
          <t>Not asked at all: unit and aggregation_type. The app derives both automatically from metric_key for every registered metric -- DICTIONARY_OUTPUT leaves them blank on purpose, and that is correct.</t>
        </is>
      </c>
    </row>
    <row r="24">
      <c r="A24" s="4" t="inlineStr">
        <is>
          <t>Not included in this builder: date_basis and maturity_required. The schema-necessity review confirmed the app does not currently read either field for anything (see docs/Ancestry_MMM_Upload_Schema_Necessity_Review.md). If your project needs them recorded anyway, add the columns and values by hand after copying the output.</t>
        </is>
      </c>
    </row>
    <row r="26">
      <c r="A26" s="3" t="inlineStr">
        <is>
          <t>How dropdowns work</t>
        </is>
      </c>
    </row>
    <row r="27">
      <c r="A27" s="4" t="inlineStr">
        <is>
          <t>product, metric_key, segment_dimension, group_aggregation, role, and the TRUE/FALSE eligibility switches are dropdowns built from the app's own governed lists. Click a cell in one of those columns and choose from the list, or see the ALLOWED_VALUES sheet for the full, current set with plain-English explanations.</t>
        </is>
      </c>
    </row>
    <row r="29">
      <c r="A29" s="3" t="inlineStr">
        <is>
          <t>How validation works</t>
        </is>
      </c>
    </row>
    <row r="30">
      <c r="A30" s="4" t="inlineStr">
        <is>
          <t>The Row status column recalculates automatically as you type. It tells you in plain English whether a row is Ready, missing a required field, or a duplicate outcome_id -- fix the thing it names, then check again.</t>
        </is>
      </c>
    </row>
    <row r="32">
      <c r="A32" s="3" t="inlineStr">
        <is>
          <t>Where the final dictionary output goes</t>
        </is>
      </c>
    </row>
    <row r="33">
      <c r="A33" s="4" t="inlineStr">
        <is>
          <t>Select every data row of the DICTIONARY_OUTPUT sheet, copy, and Paste Special &gt; Values into the outcome_dictionary sheet of the standard Outcomes upload workbook.</t>
        </is>
      </c>
    </row>
    <row r="35">
      <c r="A35" s="3" t="inlineStr">
        <is>
          <t>Where the actual weekly KPI numbers go</t>
        </is>
      </c>
    </row>
    <row r="36">
      <c r="A36" s="4" t="inlineStr">
        <is>
          <t>This builder never asks for your weekly numbers. Those go in the outcomes sheet of the same Outcomes upload workbook -- one column per outcome_id, one row per period_start x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Q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8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hidden="1" width="2" customWidth="1" min="35" max="35"/>
    <col hidden="1" width="2" customWidth="1" min="36" max="36"/>
    <col hidden="1" width="2" customWidth="1" min="37" max="37"/>
    <col hidden="1" width="2" customWidth="1" min="38" max="38"/>
    <col hidden="1" width="2" customWidth="1" min="39" max="39"/>
    <col hidden="1" width="2" customWidth="1" min="40" max="40"/>
    <col hidden="1" width="2" customWidth="1" min="41" max="41"/>
    <col hidden="1" width="2" customWidth="1" min="42" max="42"/>
    <col hidden="1" width="2" customWidth="1" min="43" max="43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</row>
    <row r="2">
      <c r="A2" s="4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s="4" t="inlineStr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</row>
    <row r="4">
      <c r="A4" s="4" t="inlineStr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</row>
    <row r="5">
      <c r="A5" s="4" t="inlineStr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</row>
    <row r="6">
      <c r="A6" s="4" t="inlineStr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</row>
    <row r="7">
      <c r="A7" s="5" t="inlineStr">
        <is>
          <t>product</t>
        </is>
      </c>
      <c r="B7" s="5" t="inlineStr">
        <is>
          <t>metric_key</t>
        </is>
      </c>
      <c r="C7" s="5" t="inlineStr">
        <is>
          <t>segment</t>
        </is>
      </c>
      <c r="D7" s="5" t="inlineStr">
        <is>
          <t>metric</t>
        </is>
      </c>
      <c r="E7" s="5" t="inlineStr">
        <is>
          <t>source_column</t>
        </is>
      </c>
      <c r="F7" s="5" t="inlineStr">
        <is>
          <t>outcome_id (existing)</t>
        </is>
      </c>
      <c r="G7" s="5" t="inlineStr">
        <is>
          <t>Manual override</t>
        </is>
      </c>
      <c r="H7" s="5" t="inlineStr">
        <is>
          <t>Generated ID</t>
        </is>
      </c>
      <c r="I7" s="5" t="inlineStr">
        <is>
          <t>Final ID</t>
        </is>
      </c>
      <c r="J7" s="5" t="inlineStr">
        <is>
          <t>Row status</t>
        </is>
      </c>
      <c r="K7" s="6" t="inlineStr">
        <is>
          <t>segment_dimension</t>
        </is>
      </c>
      <c r="L7" s="6" t="inlineStr">
        <is>
          <t>outcome_group_id</t>
        </is>
      </c>
      <c r="M7" s="6" t="inlineStr">
        <is>
          <t>outcome_group_label</t>
        </is>
      </c>
      <c r="N7" s="6" t="inlineStr">
        <is>
          <t>outcome_family_key</t>
        </is>
      </c>
      <c r="O7" s="6" t="inlineStr">
        <is>
          <t>group_aggregation</t>
        </is>
      </c>
      <c r="P7" s="6" t="inlineStr">
        <is>
          <t>role</t>
        </is>
      </c>
      <c r="Q7" s="6" t="inlineStr">
        <is>
          <t>included_in_fit</t>
        </is>
      </c>
      <c r="R7" s="6" t="inlineStr">
        <is>
          <t>include_in_default_reporting</t>
        </is>
      </c>
      <c r="S7" s="6" t="inlineStr">
        <is>
          <t>include_in_official_total</t>
        </is>
      </c>
      <c r="T7" s="6" t="inlineStr">
        <is>
          <t>include_in_value</t>
        </is>
      </c>
      <c r="U7" s="6" t="inlineStr">
        <is>
          <t>include_in_optimisation</t>
        </is>
      </c>
      <c r="V7" s="6" t="inlineStr">
        <is>
          <t>value_weight</t>
        </is>
      </c>
      <c r="W7" s="6" t="inlineStr">
        <is>
          <t>value_currency</t>
        </is>
      </c>
      <c r="X7" s="7" t="inlineStr">
        <is>
          <t>definition_version</t>
        </is>
      </c>
      <c r="Y7" s="7" t="inlineStr">
        <is>
          <t>event_definition</t>
        </is>
      </c>
      <c r="Z7" s="7" t="inlineStr">
        <is>
          <t>cohort_or_attribution_basis</t>
        </is>
      </c>
      <c r="AA7" s="7" t="inlineStr">
        <is>
          <t>completeness_or_maturity_policy</t>
        </is>
      </c>
      <c r="AB7" s="7" t="inlineStr">
        <is>
          <t>exclusions</t>
        </is>
      </c>
      <c r="AC7" s="7" t="inlineStr">
        <is>
          <t>reconciliation_source</t>
        </is>
      </c>
      <c r="AD7" s="7" t="inlineStr">
        <is>
          <t>business_owner</t>
        </is>
      </c>
      <c r="AE7" s="7" t="inlineStr">
        <is>
          <t>effective_from</t>
        </is>
      </c>
      <c r="AF7" s="7" t="inlineStr">
        <is>
          <t>effective_to</t>
        </is>
      </c>
      <c r="AG7" s="5" t="n"/>
      <c r="AH7" s="5" t="n"/>
      <c r="AI7" s="5" t="inlineStr">
        <is>
          <t>_A_clean</t>
        </is>
      </c>
      <c r="AJ7" s="5" t="inlineStr">
        <is>
          <t>_A_collapsed</t>
        </is>
      </c>
      <c r="AK7" s="5" t="inlineStr">
        <is>
          <t>_A_token</t>
        </is>
      </c>
      <c r="AL7" s="5" t="inlineStr">
        <is>
          <t>_B_clean</t>
        </is>
      </c>
      <c r="AM7" s="5" t="inlineStr">
        <is>
          <t>_B_collapsed</t>
        </is>
      </c>
      <c r="AN7" s="5" t="inlineStr">
        <is>
          <t>_B_token</t>
        </is>
      </c>
      <c r="AO7" s="5" t="inlineStr">
        <is>
          <t>_C_clean</t>
        </is>
      </c>
      <c r="AP7" s="5" t="inlineStr">
        <is>
          <t>_C_collapsed</t>
        </is>
      </c>
      <c r="AQ7" s="5" t="inlineStr">
        <is>
          <t>_C_token</t>
        </is>
      </c>
    </row>
    <row r="8">
      <c r="A8" s="4" t="inlineStr">
        <is>
          <t>Family History</t>
        </is>
      </c>
      <c r="B8" s="4" t="inlineStr">
        <is>
          <t>fh_gsa</t>
        </is>
      </c>
      <c r="C8" s="4" t="inlineStr">
        <is>
          <t>New</t>
        </is>
      </c>
      <c r="D8" s="4" t="inlineStr">
        <is>
          <t>GSA</t>
        </is>
      </c>
      <c r="E8" s="4" t="inlineStr"/>
      <c r="F8" s="4" t="inlineStr"/>
      <c r="G8" s="4" t="inlineStr"/>
      <c r="H8" s="4">
        <f>IF(AK8&lt;&gt;"",AK8,"")&amp;IF(AN8&lt;&gt;"",IF(AK8&lt;&gt;"","_"&amp;AN8,AN8),"")&amp;IF(AQ8&lt;&gt;"",IF(AK8&lt;&gt;"","_"&amp;AQ8,AQ8),"")</f>
        <v/>
      </c>
      <c r="I8" s="4">
        <f>IF(TRIM(G8)&lt;&gt;"",TRIM(G8),H8)</f>
        <v/>
      </c>
      <c r="J8" s="4">
        <f>IF(OR(A8="",B8="",C8="",D8=""),"Missing required field — fill in product, metric_key, segment, and metric before this row can be used.",IF(H8="","Missing required field — product, metric_key, and segment must combine into an ID.",IF(COUNTIF($I$8:$I$32,I8)&gt;1,"Duplicate outcome ID — two rows currently build the same outcome_id; add a distinguishing detail.",IF(AND(F8&lt;&gt;"",F8&lt;&gt;I8),"Existing outcome_id differs from the built ID — review before using.","Ready"))))</f>
        <v/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n"/>
      <c r="AH8" s="4" t="n"/>
      <c r="AI8" s="4">
        <f>IF(OR(LOWER(TRIM(A8))="",LOWER(TRIM(A8))="nan",LOWER(TRIM(A8))="none",LOWER(TRIM(A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8" s="4">
        <f>IF(AI8="","",SUBSTITUTE(SUBSTITUTE(SUBSTITUTE(SUBSTITUTE(SUBSTITUTE(SUBSTITUTE(SUBSTITUTE(SUBSTITUTE(AI8,"__","_"),"__","_"),"__","_"),"__","_"),"__","_"),"__","_"),"__","_"),"__","_"))</f>
        <v/>
      </c>
      <c r="AK8" s="4">
        <f>IF(OR(AJ8="",AJ8="_"),"",IF(LEFT(AJ8,1)="_",IF(RIGHT(AJ8,1)="_",MID(AJ8,2,LEN(AJ8)-2),RIGHT(AJ8,LEN(AJ8)-1)),IF(RIGHT(AJ8,1)="_",LEFT(AJ8,LEN(AJ8)-1),AJ8)))</f>
        <v/>
      </c>
      <c r="AL8" s="4">
        <f>IF(OR(LOWER(TRIM(B8))="",LOWER(TRIM(B8))="nan",LOWER(TRIM(B8))="none",LOWER(TRIM(B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8" s="4">
        <f>IF(AL8="","",SUBSTITUTE(SUBSTITUTE(SUBSTITUTE(SUBSTITUTE(SUBSTITUTE(SUBSTITUTE(SUBSTITUTE(SUBSTITUTE(AL8,"__","_"),"__","_"),"__","_"),"__","_"),"__","_"),"__","_"),"__","_"),"__","_"))</f>
        <v/>
      </c>
      <c r="AN8" s="4">
        <f>IF(OR(AM8="",AM8="_"),"",IF(LEFT(AM8,1)="_",IF(RIGHT(AM8,1)="_",MID(AM8,2,LEN(AM8)-2),RIGHT(AM8,LEN(AM8)-1)),IF(RIGHT(AM8,1)="_",LEFT(AM8,LEN(AM8)-1),AM8)))</f>
        <v/>
      </c>
      <c r="AO8" s="4">
        <f>IF(OR(LOWER(TRIM(C8))="",LOWER(TRIM(C8))="nan",LOWER(TRIM(C8))="none",LOWER(TRIM(C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8" s="4">
        <f>IF(AO8="","",SUBSTITUTE(SUBSTITUTE(SUBSTITUTE(SUBSTITUTE(SUBSTITUTE(SUBSTITUTE(SUBSTITUTE(SUBSTITUTE(AO8,"__","_"),"__","_"),"__","_"),"__","_"),"__","_"),"__","_"),"__","_"),"__","_"))</f>
        <v/>
      </c>
      <c r="AQ8" s="4">
        <f>IF(OR(AP8="",AP8="_"),"",IF(LEFT(AP8,1)="_",IF(RIGHT(AP8,1)="_",MID(AP8,2,LEN(AP8)-2),RIGHT(AP8,LEN(AP8)-1)),IF(RIGHT(AP8,1)="_",LEFT(AP8,LEN(AP8)-1),AP8)))</f>
        <v/>
      </c>
    </row>
    <row r="9">
      <c r="A9" s="4" t="inlineStr">
        <is>
          <t>Family History</t>
        </is>
      </c>
      <c r="B9" s="4" t="inlineStr">
        <is>
          <t>fh_gsa</t>
        </is>
      </c>
      <c r="C9" s="4" t="inlineStr">
        <is>
          <t>DNA_CrossSell</t>
        </is>
      </c>
      <c r="D9" s="4" t="inlineStr">
        <is>
          <t>GSA</t>
        </is>
      </c>
      <c r="E9" s="4" t="inlineStr"/>
      <c r="F9" s="4" t="inlineStr"/>
      <c r="G9" s="4" t="inlineStr"/>
      <c r="H9" s="4">
        <f>IF(AK9&lt;&gt;"",AK9,"")&amp;IF(AN9&lt;&gt;"",IF(AK9&lt;&gt;"","_"&amp;AN9,AN9),"")&amp;IF(AQ9&lt;&gt;"",IF(AK9&lt;&gt;"","_"&amp;AQ9,AQ9),"")</f>
        <v/>
      </c>
      <c r="I9" s="4">
        <f>IF(TRIM(G9)&lt;&gt;"",TRIM(G9),H9)</f>
        <v/>
      </c>
      <c r="J9" s="4">
        <f>IF(OR(A9="",B9="",C9="",D9=""),"Missing required field — fill in product, metric_key, segment, and metric before this row can be used.",IF(H9="","Missing required field — product, metric_key, and segment must combine into an ID.",IF(COUNTIF($I$8:$I$32,I9)&gt;1,"Duplicate outcome ID — two rows currently build the same outcome_id; add a distinguishing detail.",IF(AND(F9&lt;&gt;"",F9&lt;&gt;I9),"Existing outcome_id differs from the built ID — review before using.","Ready"))))</f>
        <v/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n"/>
      <c r="AH9" s="4" t="n"/>
      <c r="AI9" s="4">
        <f>IF(OR(LOWER(TRIM(A9))="",LOWER(TRIM(A9))="nan",LOWER(TRIM(A9))="none",LOWER(TRIM(A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9" s="4">
        <f>IF(AI9="","",SUBSTITUTE(SUBSTITUTE(SUBSTITUTE(SUBSTITUTE(SUBSTITUTE(SUBSTITUTE(SUBSTITUTE(SUBSTITUTE(AI9,"__","_"),"__","_"),"__","_"),"__","_"),"__","_"),"__","_"),"__","_"),"__","_"))</f>
        <v/>
      </c>
      <c r="AK9" s="4">
        <f>IF(OR(AJ9="",AJ9="_"),"",IF(LEFT(AJ9,1)="_",IF(RIGHT(AJ9,1)="_",MID(AJ9,2,LEN(AJ9)-2),RIGHT(AJ9,LEN(AJ9)-1)),IF(RIGHT(AJ9,1)="_",LEFT(AJ9,LEN(AJ9)-1),AJ9)))</f>
        <v/>
      </c>
      <c r="AL9" s="4">
        <f>IF(OR(LOWER(TRIM(B9))="",LOWER(TRIM(B9))="nan",LOWER(TRIM(B9))="none",LOWER(TRIM(B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9" s="4">
        <f>IF(AL9="","",SUBSTITUTE(SUBSTITUTE(SUBSTITUTE(SUBSTITUTE(SUBSTITUTE(SUBSTITUTE(SUBSTITUTE(SUBSTITUTE(AL9,"__","_"),"__","_"),"__","_"),"__","_"),"__","_"),"__","_"),"__","_"),"__","_"))</f>
        <v/>
      </c>
      <c r="AN9" s="4">
        <f>IF(OR(AM9="",AM9="_"),"",IF(LEFT(AM9,1)="_",IF(RIGHT(AM9,1)="_",MID(AM9,2,LEN(AM9)-2),RIGHT(AM9,LEN(AM9)-1)),IF(RIGHT(AM9,1)="_",LEFT(AM9,LEN(AM9)-1),AM9)))</f>
        <v/>
      </c>
      <c r="AO9" s="4">
        <f>IF(OR(LOWER(TRIM(C9))="",LOWER(TRIM(C9))="nan",LOWER(TRIM(C9))="none",LOWER(TRIM(C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9" s="4">
        <f>IF(AO9="","",SUBSTITUTE(SUBSTITUTE(SUBSTITUTE(SUBSTITUTE(SUBSTITUTE(SUBSTITUTE(SUBSTITUTE(SUBSTITUTE(AO9,"__","_"),"__","_"),"__","_"),"__","_"),"__","_"),"__","_"),"__","_"),"__","_"))</f>
        <v/>
      </c>
      <c r="AQ9" s="4">
        <f>IF(OR(AP9="",AP9="_"),"",IF(LEFT(AP9,1)="_",IF(RIGHT(AP9,1)="_",MID(AP9,2,LEN(AP9)-2),RIGHT(AP9,LEN(AP9)-1)),IF(RIGHT(AP9,1)="_",LEFT(AP9,LEN(AP9)-1),AP9)))</f>
        <v/>
      </c>
    </row>
    <row r="10">
      <c r="A10" s="4" t="inlineStr">
        <is>
          <t>Family History</t>
        </is>
      </c>
      <c r="B10" s="4" t="inlineStr">
        <is>
          <t>fh_gsa</t>
        </is>
      </c>
      <c r="C10" s="4" t="inlineStr">
        <is>
          <t>Winback</t>
        </is>
      </c>
      <c r="D10" s="4" t="inlineStr">
        <is>
          <t>GSA</t>
        </is>
      </c>
      <c r="E10" s="4" t="inlineStr"/>
      <c r="F10" s="4" t="inlineStr"/>
      <c r="G10" s="4" t="inlineStr"/>
      <c r="H10" s="4">
        <f>IF(AK10&lt;&gt;"",AK10,"")&amp;IF(AN10&lt;&gt;"",IF(AK10&lt;&gt;"","_"&amp;AN10,AN10),"")&amp;IF(AQ10&lt;&gt;"",IF(AK10&lt;&gt;"","_"&amp;AQ10,AQ10),"")</f>
        <v/>
      </c>
      <c r="I10" s="4">
        <f>IF(TRIM(G10)&lt;&gt;"",TRIM(G10),H10)</f>
        <v/>
      </c>
      <c r="J10" s="4">
        <f>IF(OR(A10="",B10="",C10="",D10=""),"Missing required field — fill in product, metric_key, segment, and metric before this row can be used.",IF(H10="","Missing required field — product, metric_key, and segment must combine into an ID.",IF(COUNTIF($I$8:$I$32,I10)&gt;1,"Duplicate outcome ID — two rows currently build the same outcome_id; add a distinguishing detail.",IF(AND(F10&lt;&gt;"",F10&lt;&gt;I10),"Existing outcome_id differs from the built ID — review before using.","Ready"))))</f>
        <v/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n"/>
      <c r="AH10" s="4" t="n"/>
      <c r="AI10" s="4">
        <f>IF(OR(LOWER(TRIM(A10))="",LOWER(TRIM(A10))="nan",LOWER(TRIM(A10))="none",LOWER(TRIM(A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0" s="4">
        <f>IF(AI10="","",SUBSTITUTE(SUBSTITUTE(SUBSTITUTE(SUBSTITUTE(SUBSTITUTE(SUBSTITUTE(SUBSTITUTE(SUBSTITUTE(AI10,"__","_"),"__","_"),"__","_"),"__","_"),"__","_"),"__","_"),"__","_"),"__","_"))</f>
        <v/>
      </c>
      <c r="AK10" s="4">
        <f>IF(OR(AJ10="",AJ10="_"),"",IF(LEFT(AJ10,1)="_",IF(RIGHT(AJ10,1)="_",MID(AJ10,2,LEN(AJ10)-2),RIGHT(AJ10,LEN(AJ10)-1)),IF(RIGHT(AJ10,1)="_",LEFT(AJ10,LEN(AJ10)-1),AJ10)))</f>
        <v/>
      </c>
      <c r="AL10" s="4">
        <f>IF(OR(LOWER(TRIM(B10))="",LOWER(TRIM(B10))="nan",LOWER(TRIM(B10))="none",LOWER(TRIM(B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0" s="4">
        <f>IF(AL10="","",SUBSTITUTE(SUBSTITUTE(SUBSTITUTE(SUBSTITUTE(SUBSTITUTE(SUBSTITUTE(SUBSTITUTE(SUBSTITUTE(AL10,"__","_"),"__","_"),"__","_"),"__","_"),"__","_"),"__","_"),"__","_"),"__","_"))</f>
        <v/>
      </c>
      <c r="AN10" s="4">
        <f>IF(OR(AM10="",AM10="_"),"",IF(LEFT(AM10,1)="_",IF(RIGHT(AM10,1)="_",MID(AM10,2,LEN(AM10)-2),RIGHT(AM10,LEN(AM10)-1)),IF(RIGHT(AM10,1)="_",LEFT(AM10,LEN(AM10)-1),AM10)))</f>
        <v/>
      </c>
      <c r="AO10" s="4">
        <f>IF(OR(LOWER(TRIM(C10))="",LOWER(TRIM(C10))="nan",LOWER(TRIM(C10))="none",LOWER(TRIM(C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0" s="4">
        <f>IF(AO10="","",SUBSTITUTE(SUBSTITUTE(SUBSTITUTE(SUBSTITUTE(SUBSTITUTE(SUBSTITUTE(SUBSTITUTE(SUBSTITUTE(AO10,"__","_"),"__","_"),"__","_"),"__","_"),"__","_"),"__","_"),"__","_"),"__","_"))</f>
        <v/>
      </c>
      <c r="AQ10" s="4">
        <f>IF(OR(AP10="",AP10="_"),"",IF(LEFT(AP10,1)="_",IF(RIGHT(AP10,1)="_",MID(AP10,2,LEN(AP10)-2),RIGHT(AP10,LEN(AP10)-1)),IF(RIGHT(AP10,1)="_",LEFT(AP10,LEN(AP10)-1),AP10)))</f>
        <v/>
      </c>
    </row>
    <row r="11">
      <c r="A11" s="4" t="inlineStr">
        <is>
          <t>Family History</t>
        </is>
      </c>
      <c r="B11" s="4" t="inlineStr">
        <is>
          <t>fh_net_billthrough_count</t>
        </is>
      </c>
      <c r="C11" s="4" t="inlineStr">
        <is>
          <t>New</t>
        </is>
      </c>
      <c r="D11" s="4" t="inlineStr">
        <is>
          <t>Net bill-through count</t>
        </is>
      </c>
      <c r="E11" s="4" t="inlineStr"/>
      <c r="F11" s="4" t="inlineStr"/>
      <c r="G11" s="4" t="inlineStr"/>
      <c r="H11" s="4">
        <f>IF(AK11&lt;&gt;"",AK11,"")&amp;IF(AN11&lt;&gt;"",IF(AK11&lt;&gt;"","_"&amp;AN11,AN11),"")&amp;IF(AQ11&lt;&gt;"",IF(AK11&lt;&gt;"","_"&amp;AQ11,AQ11),"")</f>
        <v/>
      </c>
      <c r="I11" s="4">
        <f>IF(TRIM(G11)&lt;&gt;"",TRIM(G11),H11)</f>
        <v/>
      </c>
      <c r="J11" s="4">
        <f>IF(OR(A11="",B11="",C11="",D11=""),"Missing required field — fill in product, metric_key, segment, and metric before this row can be used.",IF(H11="","Missing required field — product, metric_key, and segment must combine into an ID.",IF(COUNTIF($I$8:$I$32,I11)&gt;1,"Duplicate outcome ID — two rows currently build the same outcome_id; add a distinguishing detail.",IF(AND(F11&lt;&gt;"",F11&lt;&gt;I11),"Existing outcome_id differs from the built ID — review before using.","Ready"))))</f>
        <v/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n"/>
      <c r="AH11" s="4" t="n"/>
      <c r="AI11" s="4">
        <f>IF(OR(LOWER(TRIM(A11))="",LOWER(TRIM(A11))="nan",LOWER(TRIM(A11))="none",LOWER(TRIM(A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1" s="4">
        <f>IF(AI11="","",SUBSTITUTE(SUBSTITUTE(SUBSTITUTE(SUBSTITUTE(SUBSTITUTE(SUBSTITUTE(SUBSTITUTE(SUBSTITUTE(AI11,"__","_"),"__","_"),"__","_"),"__","_"),"__","_"),"__","_"),"__","_"),"__","_"))</f>
        <v/>
      </c>
      <c r="AK11" s="4">
        <f>IF(OR(AJ11="",AJ11="_"),"",IF(LEFT(AJ11,1)="_",IF(RIGHT(AJ11,1)="_",MID(AJ11,2,LEN(AJ11)-2),RIGHT(AJ11,LEN(AJ11)-1)),IF(RIGHT(AJ11,1)="_",LEFT(AJ11,LEN(AJ11)-1),AJ11)))</f>
        <v/>
      </c>
      <c r="AL11" s="4">
        <f>IF(OR(LOWER(TRIM(B11))="",LOWER(TRIM(B11))="nan",LOWER(TRIM(B11))="none",LOWER(TRIM(B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1" s="4">
        <f>IF(AL11="","",SUBSTITUTE(SUBSTITUTE(SUBSTITUTE(SUBSTITUTE(SUBSTITUTE(SUBSTITUTE(SUBSTITUTE(SUBSTITUTE(AL11,"__","_"),"__","_"),"__","_"),"__","_"),"__","_"),"__","_"),"__","_"),"__","_"))</f>
        <v/>
      </c>
      <c r="AN11" s="4">
        <f>IF(OR(AM11="",AM11="_"),"",IF(LEFT(AM11,1)="_",IF(RIGHT(AM11,1)="_",MID(AM11,2,LEN(AM11)-2),RIGHT(AM11,LEN(AM11)-1)),IF(RIGHT(AM11,1)="_",LEFT(AM11,LEN(AM11)-1),AM11)))</f>
        <v/>
      </c>
      <c r="AO11" s="4">
        <f>IF(OR(LOWER(TRIM(C11))="",LOWER(TRIM(C11))="nan",LOWER(TRIM(C11))="none",LOWER(TRIM(C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1" s="4">
        <f>IF(AO11="","",SUBSTITUTE(SUBSTITUTE(SUBSTITUTE(SUBSTITUTE(SUBSTITUTE(SUBSTITUTE(SUBSTITUTE(SUBSTITUTE(AO11,"__","_"),"__","_"),"__","_"),"__","_"),"__","_"),"__","_"),"__","_"),"__","_"))</f>
        <v/>
      </c>
      <c r="AQ11" s="4">
        <f>IF(OR(AP11="",AP11="_"),"",IF(LEFT(AP11,1)="_",IF(RIGHT(AP11,1)="_",MID(AP11,2,LEN(AP11)-2),RIGHT(AP11,LEN(AP11)-1)),IF(RIGHT(AP11,1)="_",LEFT(AP11,LEN(AP11)-1),AP11)))</f>
        <v/>
      </c>
    </row>
    <row r="12">
      <c r="A12" s="4" t="inlineStr">
        <is>
          <t>DNA</t>
        </is>
      </c>
      <c r="B12" s="4" t="inlineStr">
        <is>
          <t>dna_kit_sale</t>
        </is>
      </c>
      <c r="C12" s="4" t="inlineStr">
        <is>
          <t>New Customer</t>
        </is>
      </c>
      <c r="D12" s="4" t="inlineStr">
        <is>
          <t>Kit sale</t>
        </is>
      </c>
      <c r="E12" s="4" t="inlineStr"/>
      <c r="F12" s="4" t="inlineStr"/>
      <c r="G12" s="4" t="inlineStr"/>
      <c r="H12" s="4">
        <f>IF(AK12&lt;&gt;"",AK12,"")&amp;IF(AN12&lt;&gt;"",IF(AK12&lt;&gt;"","_"&amp;AN12,AN12),"")&amp;IF(AQ12&lt;&gt;"",IF(AK12&lt;&gt;"","_"&amp;AQ12,AQ12),"")</f>
        <v/>
      </c>
      <c r="I12" s="4">
        <f>IF(TRIM(G12)&lt;&gt;"",TRIM(G12),H12)</f>
        <v/>
      </c>
      <c r="J12" s="4">
        <f>IF(OR(A12="",B12="",C12="",D12=""),"Missing required field — fill in product, metric_key, segment, and metric before this row can be used.",IF(H12="","Missing required field — product, metric_key, and segment must combine into an ID.",IF(COUNTIF($I$8:$I$32,I12)&gt;1,"Duplicate outcome ID — two rows currently build the same outcome_id; add a distinguishing detail.",IF(AND(F12&lt;&gt;"",F12&lt;&gt;I12),"Existing outcome_id differs from the built ID — review before using.","Ready"))))</f>
        <v/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n"/>
      <c r="AH12" s="4" t="n"/>
      <c r="AI12" s="4">
        <f>IF(OR(LOWER(TRIM(A12))="",LOWER(TRIM(A12))="nan",LOWER(TRIM(A12))="none",LOWER(TRIM(A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2" s="4">
        <f>IF(AI12="","",SUBSTITUTE(SUBSTITUTE(SUBSTITUTE(SUBSTITUTE(SUBSTITUTE(SUBSTITUTE(SUBSTITUTE(SUBSTITUTE(AI12,"__","_"),"__","_"),"__","_"),"__","_"),"__","_"),"__","_"),"__","_"),"__","_"))</f>
        <v/>
      </c>
      <c r="AK12" s="4">
        <f>IF(OR(AJ12="",AJ12="_"),"",IF(LEFT(AJ12,1)="_",IF(RIGHT(AJ12,1)="_",MID(AJ12,2,LEN(AJ12)-2),RIGHT(AJ12,LEN(AJ12)-1)),IF(RIGHT(AJ12,1)="_",LEFT(AJ12,LEN(AJ12)-1),AJ12)))</f>
        <v/>
      </c>
      <c r="AL12" s="4">
        <f>IF(OR(LOWER(TRIM(B12))="",LOWER(TRIM(B12))="nan",LOWER(TRIM(B12))="none",LOWER(TRIM(B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2" s="4">
        <f>IF(AL12="","",SUBSTITUTE(SUBSTITUTE(SUBSTITUTE(SUBSTITUTE(SUBSTITUTE(SUBSTITUTE(SUBSTITUTE(SUBSTITUTE(AL12,"__","_"),"__","_"),"__","_"),"__","_"),"__","_"),"__","_"),"__","_"),"__","_"))</f>
        <v/>
      </c>
      <c r="AN12" s="4">
        <f>IF(OR(AM12="",AM12="_"),"",IF(LEFT(AM12,1)="_",IF(RIGHT(AM12,1)="_",MID(AM12,2,LEN(AM12)-2),RIGHT(AM12,LEN(AM12)-1)),IF(RIGHT(AM12,1)="_",LEFT(AM12,LEN(AM12)-1),AM12)))</f>
        <v/>
      </c>
      <c r="AO12" s="4">
        <f>IF(OR(LOWER(TRIM(C12))="",LOWER(TRIM(C12))="nan",LOWER(TRIM(C12))="none",LOWER(TRIM(C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2" s="4">
        <f>IF(AO12="","",SUBSTITUTE(SUBSTITUTE(SUBSTITUTE(SUBSTITUTE(SUBSTITUTE(SUBSTITUTE(SUBSTITUTE(SUBSTITUTE(AO12,"__","_"),"__","_"),"__","_"),"__","_"),"__","_"),"__","_"),"__","_"),"__","_"))</f>
        <v/>
      </c>
      <c r="AQ12" s="4">
        <f>IF(OR(AP12="",AP12="_"),"",IF(LEFT(AP12,1)="_",IF(RIGHT(AP12,1)="_",MID(AP12,2,LEN(AP12)-2),RIGHT(AP12,LEN(AP12)-1)),IF(RIGHT(AP12,1)="_",LEFT(AP12,LEN(AP12)-1),AP12)))</f>
        <v/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>
        <f>IF(AK13&lt;&gt;"",AK13,"")&amp;IF(AN13&lt;&gt;"",IF(AK13&lt;&gt;"","_"&amp;AN13,AN13),"")&amp;IF(AQ13&lt;&gt;"",IF(AK13&lt;&gt;"","_"&amp;AQ13,AQ13),"")</f>
        <v/>
      </c>
      <c r="I13" s="4">
        <f>IF(TRIM(G13)&lt;&gt;"",TRIM(G13),H13)</f>
        <v/>
      </c>
      <c r="J13" s="4">
        <f>IF(OR(A13="",B13="",C13="",D13=""),"Missing required field — fill in product, metric_key, segment, and metric before this row can be used.",IF(H13="","Missing required field — product, metric_key, and segment must combine into an ID.",IF(COUNTIF($I$8:$I$32,I13)&gt;1,"Duplicate outcome ID — two rows currently build the same outcome_id; add a distinguishing detail.",IF(AND(F13&lt;&gt;"",F13&lt;&gt;I13),"Existing outcome_id differs from the built ID — review before using.","Ready"))))</f>
        <v/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n"/>
      <c r="AH13" s="4" t="n"/>
      <c r="AI13" s="4">
        <f>IF(OR(LOWER(TRIM(A13))="",LOWER(TRIM(A13))="nan",LOWER(TRIM(A13))="none",LOWER(TRIM(A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3" s="4">
        <f>IF(AI13="","",SUBSTITUTE(SUBSTITUTE(SUBSTITUTE(SUBSTITUTE(SUBSTITUTE(SUBSTITUTE(SUBSTITUTE(SUBSTITUTE(AI13,"__","_"),"__","_"),"__","_"),"__","_"),"__","_"),"__","_"),"__","_"),"__","_"))</f>
        <v/>
      </c>
      <c r="AK13" s="4">
        <f>IF(OR(AJ13="",AJ13="_"),"",IF(LEFT(AJ13,1)="_",IF(RIGHT(AJ13,1)="_",MID(AJ13,2,LEN(AJ13)-2),RIGHT(AJ13,LEN(AJ13)-1)),IF(RIGHT(AJ13,1)="_",LEFT(AJ13,LEN(AJ13)-1),AJ13)))</f>
        <v/>
      </c>
      <c r="AL13" s="4">
        <f>IF(OR(LOWER(TRIM(B13))="",LOWER(TRIM(B13))="nan",LOWER(TRIM(B13))="none",LOWER(TRIM(B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3" s="4">
        <f>IF(AL13="","",SUBSTITUTE(SUBSTITUTE(SUBSTITUTE(SUBSTITUTE(SUBSTITUTE(SUBSTITUTE(SUBSTITUTE(SUBSTITUTE(AL13,"__","_"),"__","_"),"__","_"),"__","_"),"__","_"),"__","_"),"__","_"),"__","_"))</f>
        <v/>
      </c>
      <c r="AN13" s="4">
        <f>IF(OR(AM13="",AM13="_"),"",IF(LEFT(AM13,1)="_",IF(RIGHT(AM13,1)="_",MID(AM13,2,LEN(AM13)-2),RIGHT(AM13,LEN(AM13)-1)),IF(RIGHT(AM13,1)="_",LEFT(AM13,LEN(AM13)-1),AM13)))</f>
        <v/>
      </c>
      <c r="AO13" s="4">
        <f>IF(OR(LOWER(TRIM(C13))="",LOWER(TRIM(C13))="nan",LOWER(TRIM(C13))="none",LOWER(TRIM(C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3" s="4">
        <f>IF(AO13="","",SUBSTITUTE(SUBSTITUTE(SUBSTITUTE(SUBSTITUTE(SUBSTITUTE(SUBSTITUTE(SUBSTITUTE(SUBSTITUTE(AO13,"__","_"),"__","_"),"__","_"),"__","_"),"__","_"),"__","_"),"__","_"),"__","_"))</f>
        <v/>
      </c>
      <c r="AQ13" s="4">
        <f>IF(OR(AP13="",AP13="_"),"",IF(LEFT(AP13,1)="_",IF(RIGHT(AP13,1)="_",MID(AP13,2,LEN(AP13)-2),RIGHT(AP13,LEN(AP13)-1)),IF(RIGHT(AP13,1)="_",LEFT(AP13,LEN(AP13)-1),AP13)))</f>
        <v/>
      </c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>
        <f>IF(AK14&lt;&gt;"",AK14,"")&amp;IF(AN14&lt;&gt;"",IF(AK14&lt;&gt;"","_"&amp;AN14,AN14),"")&amp;IF(AQ14&lt;&gt;"",IF(AK14&lt;&gt;"","_"&amp;AQ14,AQ14),"")</f>
        <v/>
      </c>
      <c r="I14" s="4">
        <f>IF(TRIM(G14)&lt;&gt;"",TRIM(G14),H14)</f>
        <v/>
      </c>
      <c r="J14" s="4">
        <f>IF(OR(A14="",B14="",C14="",D14=""),"Missing required field — fill in product, metric_key, segment, and metric before this row can be used.",IF(H14="","Missing required field — product, metric_key, and segment must combine into an ID.",IF(COUNTIF($I$8:$I$32,I14)&gt;1,"Duplicate outcome ID — two rows currently build the same outcome_id; add a distinguishing detail.",IF(AND(F14&lt;&gt;"",F14&lt;&gt;I14),"Existing outcome_id differs from the built ID — review before using.","Ready"))))</f>
        <v/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n"/>
      <c r="AH14" s="4" t="n"/>
      <c r="AI14" s="4">
        <f>IF(OR(LOWER(TRIM(A14))="",LOWER(TRIM(A14))="nan",LOWER(TRIM(A14))="none",LOWER(TRIM(A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4" s="4">
        <f>IF(AI14="","",SUBSTITUTE(SUBSTITUTE(SUBSTITUTE(SUBSTITUTE(SUBSTITUTE(SUBSTITUTE(SUBSTITUTE(SUBSTITUTE(AI14,"__","_"),"__","_"),"__","_"),"__","_"),"__","_"),"__","_"),"__","_"),"__","_"))</f>
        <v/>
      </c>
      <c r="AK14" s="4">
        <f>IF(OR(AJ14="",AJ14="_"),"",IF(LEFT(AJ14,1)="_",IF(RIGHT(AJ14,1)="_",MID(AJ14,2,LEN(AJ14)-2),RIGHT(AJ14,LEN(AJ14)-1)),IF(RIGHT(AJ14,1)="_",LEFT(AJ14,LEN(AJ14)-1),AJ14)))</f>
        <v/>
      </c>
      <c r="AL14" s="4">
        <f>IF(OR(LOWER(TRIM(B14))="",LOWER(TRIM(B14))="nan",LOWER(TRIM(B14))="none",LOWER(TRIM(B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4" s="4">
        <f>IF(AL14="","",SUBSTITUTE(SUBSTITUTE(SUBSTITUTE(SUBSTITUTE(SUBSTITUTE(SUBSTITUTE(SUBSTITUTE(SUBSTITUTE(AL14,"__","_"),"__","_"),"__","_"),"__","_"),"__","_"),"__","_"),"__","_"),"__","_"))</f>
        <v/>
      </c>
      <c r="AN14" s="4">
        <f>IF(OR(AM14="",AM14="_"),"",IF(LEFT(AM14,1)="_",IF(RIGHT(AM14,1)="_",MID(AM14,2,LEN(AM14)-2),RIGHT(AM14,LEN(AM14)-1)),IF(RIGHT(AM14,1)="_",LEFT(AM14,LEN(AM14)-1),AM14)))</f>
        <v/>
      </c>
      <c r="AO14" s="4">
        <f>IF(OR(LOWER(TRIM(C14))="",LOWER(TRIM(C14))="nan",LOWER(TRIM(C14))="none",LOWER(TRIM(C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4" s="4">
        <f>IF(AO14="","",SUBSTITUTE(SUBSTITUTE(SUBSTITUTE(SUBSTITUTE(SUBSTITUTE(SUBSTITUTE(SUBSTITUTE(SUBSTITUTE(AO14,"__","_"),"__","_"),"__","_"),"__","_"),"__","_"),"__","_"),"__","_"),"__","_"))</f>
        <v/>
      </c>
      <c r="AQ14" s="4">
        <f>IF(OR(AP14="",AP14="_"),"",IF(LEFT(AP14,1)="_",IF(RIGHT(AP14,1)="_",MID(AP14,2,LEN(AP14)-2),RIGHT(AP14,LEN(AP14)-1)),IF(RIGHT(AP14,1)="_",LEFT(AP14,LEN(AP14)-1),AP14)))</f>
        <v/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>
        <f>IF(AK15&lt;&gt;"",AK15,"")&amp;IF(AN15&lt;&gt;"",IF(AK15&lt;&gt;"","_"&amp;AN15,AN15),"")&amp;IF(AQ15&lt;&gt;"",IF(AK15&lt;&gt;"","_"&amp;AQ15,AQ15),"")</f>
        <v/>
      </c>
      <c r="I15" s="4">
        <f>IF(TRIM(G15)&lt;&gt;"",TRIM(G15),H15)</f>
        <v/>
      </c>
      <c r="J15" s="4">
        <f>IF(OR(A15="",B15="",C15="",D15=""),"Missing required field — fill in product, metric_key, segment, and metric before this row can be used.",IF(H15="","Missing required field — product, metric_key, and segment must combine into an ID.",IF(COUNTIF($I$8:$I$32,I15)&gt;1,"Duplicate outcome ID — two rows currently build the same outcome_id; add a distinguishing detail.",IF(AND(F15&lt;&gt;"",F15&lt;&gt;I15),"Existing outcome_id differs from the built ID — review before using.","Ready"))))</f>
        <v/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n"/>
      <c r="AH15" s="4" t="n"/>
      <c r="AI15" s="4">
        <f>IF(OR(LOWER(TRIM(A15))="",LOWER(TRIM(A15))="nan",LOWER(TRIM(A15))="none",LOWER(TRIM(A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5" s="4">
        <f>IF(AI15="","",SUBSTITUTE(SUBSTITUTE(SUBSTITUTE(SUBSTITUTE(SUBSTITUTE(SUBSTITUTE(SUBSTITUTE(SUBSTITUTE(AI15,"__","_"),"__","_"),"__","_"),"__","_"),"__","_"),"__","_"),"__","_"),"__","_"))</f>
        <v/>
      </c>
      <c r="AK15" s="4">
        <f>IF(OR(AJ15="",AJ15="_"),"",IF(LEFT(AJ15,1)="_",IF(RIGHT(AJ15,1)="_",MID(AJ15,2,LEN(AJ15)-2),RIGHT(AJ15,LEN(AJ15)-1)),IF(RIGHT(AJ15,1)="_",LEFT(AJ15,LEN(AJ15)-1),AJ15)))</f>
        <v/>
      </c>
      <c r="AL15" s="4">
        <f>IF(OR(LOWER(TRIM(B15))="",LOWER(TRIM(B15))="nan",LOWER(TRIM(B15))="none",LOWER(TRIM(B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5" s="4">
        <f>IF(AL15="","",SUBSTITUTE(SUBSTITUTE(SUBSTITUTE(SUBSTITUTE(SUBSTITUTE(SUBSTITUTE(SUBSTITUTE(SUBSTITUTE(AL15,"__","_"),"__","_"),"__","_"),"__","_"),"__","_"),"__","_"),"__","_"),"__","_"))</f>
        <v/>
      </c>
      <c r="AN15" s="4">
        <f>IF(OR(AM15="",AM15="_"),"",IF(LEFT(AM15,1)="_",IF(RIGHT(AM15,1)="_",MID(AM15,2,LEN(AM15)-2),RIGHT(AM15,LEN(AM15)-1)),IF(RIGHT(AM15,1)="_",LEFT(AM15,LEN(AM15)-1),AM15)))</f>
        <v/>
      </c>
      <c r="AO15" s="4">
        <f>IF(OR(LOWER(TRIM(C15))="",LOWER(TRIM(C15))="nan",LOWER(TRIM(C15))="none",LOWER(TRIM(C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5" s="4">
        <f>IF(AO15="","",SUBSTITUTE(SUBSTITUTE(SUBSTITUTE(SUBSTITUTE(SUBSTITUTE(SUBSTITUTE(SUBSTITUTE(SUBSTITUTE(AO15,"__","_"),"__","_"),"__","_"),"__","_"),"__","_"),"__","_"),"__","_"),"__","_"))</f>
        <v/>
      </c>
      <c r="AQ15" s="4">
        <f>IF(OR(AP15="",AP15="_"),"",IF(LEFT(AP15,1)="_",IF(RIGHT(AP15,1)="_",MID(AP15,2,LEN(AP15)-2),RIGHT(AP15,LEN(AP15)-1)),IF(RIGHT(AP15,1)="_",LEFT(AP15,LEN(AP15)-1),AP15)))</f>
        <v/>
      </c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>
        <f>IF(AK16&lt;&gt;"",AK16,"")&amp;IF(AN16&lt;&gt;"",IF(AK16&lt;&gt;"","_"&amp;AN16,AN16),"")&amp;IF(AQ16&lt;&gt;"",IF(AK16&lt;&gt;"","_"&amp;AQ16,AQ16),"")</f>
        <v/>
      </c>
      <c r="I16" s="4">
        <f>IF(TRIM(G16)&lt;&gt;"",TRIM(G16),H16)</f>
        <v/>
      </c>
      <c r="J16" s="4">
        <f>IF(OR(A16="",B16="",C16="",D16=""),"Missing required field — fill in product, metric_key, segment, and metric before this row can be used.",IF(H16="","Missing required field — product, metric_key, and segment must combine into an ID.",IF(COUNTIF($I$8:$I$32,I16)&gt;1,"Duplicate outcome ID — two rows currently build the same outcome_id; add a distinguishing detail.",IF(AND(F16&lt;&gt;"",F16&lt;&gt;I16),"Existing outcome_id differs from the built ID — review before using.","Ready"))))</f>
        <v/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n"/>
      <c r="AH16" s="4" t="n"/>
      <c r="AI16" s="4">
        <f>IF(OR(LOWER(TRIM(A16))="",LOWER(TRIM(A16))="nan",LOWER(TRIM(A16))="none",LOWER(TRIM(A16)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16)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6" s="4">
        <f>IF(AI16="","",SUBSTITUTE(SUBSTITUTE(SUBSTITUTE(SUBSTITUTE(SUBSTITUTE(SUBSTITUTE(SUBSTITUTE(SUBSTITUTE(AI16,"__","_"),"__","_"),"__","_"),"__","_"),"__","_"),"__","_"),"__","_"),"__","_"))</f>
        <v/>
      </c>
      <c r="AK16" s="4">
        <f>IF(OR(AJ16="",AJ16="_"),"",IF(LEFT(AJ16,1)="_",IF(RIGHT(AJ16,1)="_",MID(AJ16,2,LEN(AJ16)-2),RIGHT(AJ16,LEN(AJ16)-1)),IF(RIGHT(AJ16,1)="_",LEFT(AJ16,LEN(AJ16)-1),AJ16)))</f>
        <v/>
      </c>
      <c r="AL16" s="4">
        <f>IF(OR(LOWER(TRIM(B16))="",LOWER(TRIM(B16))="nan",LOWER(TRIM(B16))="none",LOWER(TRIM(B16)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16)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6" s="4">
        <f>IF(AL16="","",SUBSTITUTE(SUBSTITUTE(SUBSTITUTE(SUBSTITUTE(SUBSTITUTE(SUBSTITUTE(SUBSTITUTE(SUBSTITUTE(AL16,"__","_"),"__","_"),"__","_"),"__","_"),"__","_"),"__","_"),"__","_"),"__","_"))</f>
        <v/>
      </c>
      <c r="AN16" s="4">
        <f>IF(OR(AM16="",AM16="_"),"",IF(LEFT(AM16,1)="_",IF(RIGHT(AM16,1)="_",MID(AM16,2,LEN(AM16)-2),RIGHT(AM16,LEN(AM16)-1)),IF(RIGHT(AM16,1)="_",LEFT(AM16,LEN(AM16)-1),AM16)))</f>
        <v/>
      </c>
      <c r="AO16" s="4">
        <f>IF(OR(LOWER(TRIM(C16))="",LOWER(TRIM(C16))="nan",LOWER(TRIM(C16))="none",LOWER(TRIM(C16)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16)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6" s="4">
        <f>IF(AO16="","",SUBSTITUTE(SUBSTITUTE(SUBSTITUTE(SUBSTITUTE(SUBSTITUTE(SUBSTITUTE(SUBSTITUTE(SUBSTITUTE(AO16,"__","_"),"__","_"),"__","_"),"__","_"),"__","_"),"__","_"),"__","_"),"__","_"))</f>
        <v/>
      </c>
      <c r="AQ16" s="4">
        <f>IF(OR(AP16="",AP16="_"),"",IF(LEFT(AP16,1)="_",IF(RIGHT(AP16,1)="_",MID(AP16,2,LEN(AP16)-2),RIGHT(AP16,LEN(AP16)-1)),IF(RIGHT(AP16,1)="_",LEFT(AP16,LEN(AP16)-1),AP16)))</f>
        <v/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>
        <f>IF(AK17&lt;&gt;"",AK17,"")&amp;IF(AN17&lt;&gt;"",IF(AK17&lt;&gt;"","_"&amp;AN17,AN17),"")&amp;IF(AQ17&lt;&gt;"",IF(AK17&lt;&gt;"","_"&amp;AQ17,AQ17),"")</f>
        <v/>
      </c>
      <c r="I17" s="4">
        <f>IF(TRIM(G17)&lt;&gt;"",TRIM(G17),H17)</f>
        <v/>
      </c>
      <c r="J17" s="4">
        <f>IF(OR(A17="",B17="",C17="",D17=""),"Missing required field — fill in product, metric_key, segment, and metric before this row can be used.",IF(H17="","Missing required field — product, metric_key, and segment must combine into an ID.",IF(COUNTIF($I$8:$I$32,I17)&gt;1,"Duplicate outcome ID — two rows currently build the same outcome_id; add a distinguishing detail.",IF(AND(F17&lt;&gt;"",F17&lt;&gt;I17),"Existing outcome_id differs from the built ID — review before using.","Ready"))))</f>
        <v/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n"/>
      <c r="AH17" s="4" t="n"/>
      <c r="AI17" s="4">
        <f>IF(OR(LOWER(TRIM(A17))="",LOWER(TRIM(A17))="nan",LOWER(TRIM(A17))="none",LOWER(TRIM(A17)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17)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7" s="4">
        <f>IF(AI17="","",SUBSTITUTE(SUBSTITUTE(SUBSTITUTE(SUBSTITUTE(SUBSTITUTE(SUBSTITUTE(SUBSTITUTE(SUBSTITUTE(AI17,"__","_"),"__","_"),"__","_"),"__","_"),"__","_"),"__","_"),"__","_"),"__","_"))</f>
        <v/>
      </c>
      <c r="AK17" s="4">
        <f>IF(OR(AJ17="",AJ17="_"),"",IF(LEFT(AJ17,1)="_",IF(RIGHT(AJ17,1)="_",MID(AJ17,2,LEN(AJ17)-2),RIGHT(AJ17,LEN(AJ17)-1)),IF(RIGHT(AJ17,1)="_",LEFT(AJ17,LEN(AJ17)-1),AJ17)))</f>
        <v/>
      </c>
      <c r="AL17" s="4">
        <f>IF(OR(LOWER(TRIM(B17))="",LOWER(TRIM(B17))="nan",LOWER(TRIM(B17))="none",LOWER(TRIM(B17)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17)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7" s="4">
        <f>IF(AL17="","",SUBSTITUTE(SUBSTITUTE(SUBSTITUTE(SUBSTITUTE(SUBSTITUTE(SUBSTITUTE(SUBSTITUTE(SUBSTITUTE(AL17,"__","_"),"__","_"),"__","_"),"__","_"),"__","_"),"__","_"),"__","_"),"__","_"))</f>
        <v/>
      </c>
      <c r="AN17" s="4">
        <f>IF(OR(AM17="",AM17="_"),"",IF(LEFT(AM17,1)="_",IF(RIGHT(AM17,1)="_",MID(AM17,2,LEN(AM17)-2),RIGHT(AM17,LEN(AM17)-1)),IF(RIGHT(AM17,1)="_",LEFT(AM17,LEN(AM17)-1),AM17)))</f>
        <v/>
      </c>
      <c r="AO17" s="4">
        <f>IF(OR(LOWER(TRIM(C17))="",LOWER(TRIM(C17))="nan",LOWER(TRIM(C17))="none",LOWER(TRIM(C17)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17)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7" s="4">
        <f>IF(AO17="","",SUBSTITUTE(SUBSTITUTE(SUBSTITUTE(SUBSTITUTE(SUBSTITUTE(SUBSTITUTE(SUBSTITUTE(SUBSTITUTE(AO17,"__","_"),"__","_"),"__","_"),"__","_"),"__","_"),"__","_"),"__","_"),"__","_"))</f>
        <v/>
      </c>
      <c r="AQ17" s="4">
        <f>IF(OR(AP17="",AP17="_"),"",IF(LEFT(AP17,1)="_",IF(RIGHT(AP17,1)="_",MID(AP17,2,LEN(AP17)-2),RIGHT(AP17,LEN(AP17)-1)),IF(RIGHT(AP17,1)="_",LEFT(AP17,LEN(AP17)-1),AP17)))</f>
        <v/>
      </c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>
        <f>IF(AK18&lt;&gt;"",AK18,"")&amp;IF(AN18&lt;&gt;"",IF(AK18&lt;&gt;"","_"&amp;AN18,AN18),"")&amp;IF(AQ18&lt;&gt;"",IF(AK18&lt;&gt;"","_"&amp;AQ18,AQ18),"")</f>
        <v/>
      </c>
      <c r="I18" s="4">
        <f>IF(TRIM(G18)&lt;&gt;"",TRIM(G18),H18)</f>
        <v/>
      </c>
      <c r="J18" s="4">
        <f>IF(OR(A18="",B18="",C18="",D18=""),"Missing required field — fill in product, metric_key, segment, and metric before this row can be used.",IF(H18="","Missing required field — product, metric_key, and segment must combine into an ID.",IF(COUNTIF($I$8:$I$32,I18)&gt;1,"Duplicate outcome ID — two rows currently build the same outcome_id; add a distinguishing detail.",IF(AND(F18&lt;&gt;"",F18&lt;&gt;I18),"Existing outcome_id differs from the built ID — review before using.","Ready"))))</f>
        <v/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n"/>
      <c r="AH18" s="4" t="n"/>
      <c r="AI18" s="4">
        <f>IF(OR(LOWER(TRIM(A18))="",LOWER(TRIM(A18))="nan",LOWER(TRIM(A18))="none",LOWER(TRIM(A18)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8" s="4">
        <f>IF(AI18="","",SUBSTITUTE(SUBSTITUTE(SUBSTITUTE(SUBSTITUTE(SUBSTITUTE(SUBSTITUTE(SUBSTITUTE(SUBSTITUTE(AI18,"__","_"),"__","_"),"__","_"),"__","_"),"__","_"),"__","_"),"__","_"),"__","_"))</f>
        <v/>
      </c>
      <c r="AK18" s="4">
        <f>IF(OR(AJ18="",AJ18="_"),"",IF(LEFT(AJ18,1)="_",IF(RIGHT(AJ18,1)="_",MID(AJ18,2,LEN(AJ18)-2),RIGHT(AJ18,LEN(AJ18)-1)),IF(RIGHT(AJ18,1)="_",LEFT(AJ18,LEN(AJ18)-1),AJ18)))</f>
        <v/>
      </c>
      <c r="AL18" s="4">
        <f>IF(OR(LOWER(TRIM(B18))="",LOWER(TRIM(B18))="nan",LOWER(TRIM(B18))="none",LOWER(TRIM(B18)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8" s="4">
        <f>IF(AL18="","",SUBSTITUTE(SUBSTITUTE(SUBSTITUTE(SUBSTITUTE(SUBSTITUTE(SUBSTITUTE(SUBSTITUTE(SUBSTITUTE(AL18,"__","_"),"__","_"),"__","_"),"__","_"),"__","_"),"__","_"),"__","_"),"__","_"))</f>
        <v/>
      </c>
      <c r="AN18" s="4">
        <f>IF(OR(AM18="",AM18="_"),"",IF(LEFT(AM18,1)="_",IF(RIGHT(AM18,1)="_",MID(AM18,2,LEN(AM18)-2),RIGHT(AM18,LEN(AM18)-1)),IF(RIGHT(AM18,1)="_",LEFT(AM18,LEN(AM18)-1),AM18)))</f>
        <v/>
      </c>
      <c r="AO18" s="4">
        <f>IF(OR(LOWER(TRIM(C18))="",LOWER(TRIM(C18))="nan",LOWER(TRIM(C18))="none",LOWER(TRIM(C18)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8" s="4">
        <f>IF(AO18="","",SUBSTITUTE(SUBSTITUTE(SUBSTITUTE(SUBSTITUTE(SUBSTITUTE(SUBSTITUTE(SUBSTITUTE(SUBSTITUTE(AO18,"__","_"),"__","_"),"__","_"),"__","_"),"__","_"),"__","_"),"__","_"),"__","_"))</f>
        <v/>
      </c>
      <c r="AQ18" s="4">
        <f>IF(OR(AP18="",AP18="_"),"",IF(LEFT(AP18,1)="_",IF(RIGHT(AP18,1)="_",MID(AP18,2,LEN(AP18)-2),RIGHT(AP18,LEN(AP18)-1)),IF(RIGHT(AP18,1)="_",LEFT(AP18,LEN(AP18)-1),AP18)))</f>
        <v/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>
        <f>IF(AK19&lt;&gt;"",AK19,"")&amp;IF(AN19&lt;&gt;"",IF(AK19&lt;&gt;"","_"&amp;AN19,AN19),"")&amp;IF(AQ19&lt;&gt;"",IF(AK19&lt;&gt;"","_"&amp;AQ19,AQ19),"")</f>
        <v/>
      </c>
      <c r="I19" s="4">
        <f>IF(TRIM(G19)&lt;&gt;"",TRIM(G19),H19)</f>
        <v/>
      </c>
      <c r="J19" s="4">
        <f>IF(OR(A19="",B19="",C19="",D19=""),"Missing required field — fill in product, metric_key, segment, and metric before this row can be used.",IF(H19="","Missing required field — product, metric_key, and segment must combine into an ID.",IF(COUNTIF($I$8:$I$32,I19)&gt;1,"Duplicate outcome ID — two rows currently build the same outcome_id; add a distinguishing detail.",IF(AND(F19&lt;&gt;"",F19&lt;&gt;I19),"Existing outcome_id differs from the built ID — review before using.","Ready"))))</f>
        <v/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n"/>
      <c r="AH19" s="4" t="n"/>
      <c r="AI19" s="4">
        <f>IF(OR(LOWER(TRIM(A19))="",LOWER(TRIM(A19))="nan",LOWER(TRIM(A19))="none",LOWER(TRIM(A19)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19" s="4">
        <f>IF(AI19="","",SUBSTITUTE(SUBSTITUTE(SUBSTITUTE(SUBSTITUTE(SUBSTITUTE(SUBSTITUTE(SUBSTITUTE(SUBSTITUTE(AI19,"__","_"),"__","_"),"__","_"),"__","_"),"__","_"),"__","_"),"__","_"),"__","_"))</f>
        <v/>
      </c>
      <c r="AK19" s="4">
        <f>IF(OR(AJ19="",AJ19="_"),"",IF(LEFT(AJ19,1)="_",IF(RIGHT(AJ19,1)="_",MID(AJ19,2,LEN(AJ19)-2),RIGHT(AJ19,LEN(AJ19)-1)),IF(RIGHT(AJ19,1)="_",LEFT(AJ19,LEN(AJ19)-1),AJ19)))</f>
        <v/>
      </c>
      <c r="AL19" s="4">
        <f>IF(OR(LOWER(TRIM(B19))="",LOWER(TRIM(B19))="nan",LOWER(TRIM(B19))="none",LOWER(TRIM(B19)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19" s="4">
        <f>IF(AL19="","",SUBSTITUTE(SUBSTITUTE(SUBSTITUTE(SUBSTITUTE(SUBSTITUTE(SUBSTITUTE(SUBSTITUTE(SUBSTITUTE(AL19,"__","_"),"__","_"),"__","_"),"__","_"),"__","_"),"__","_"),"__","_"),"__","_"))</f>
        <v/>
      </c>
      <c r="AN19" s="4">
        <f>IF(OR(AM19="",AM19="_"),"",IF(LEFT(AM19,1)="_",IF(RIGHT(AM19,1)="_",MID(AM19,2,LEN(AM19)-2),RIGHT(AM19,LEN(AM19)-1)),IF(RIGHT(AM19,1)="_",LEFT(AM19,LEN(AM19)-1),AM19)))</f>
        <v/>
      </c>
      <c r="AO19" s="4">
        <f>IF(OR(LOWER(TRIM(C19))="",LOWER(TRIM(C19))="nan",LOWER(TRIM(C19))="none",LOWER(TRIM(C19)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19" s="4">
        <f>IF(AO19="","",SUBSTITUTE(SUBSTITUTE(SUBSTITUTE(SUBSTITUTE(SUBSTITUTE(SUBSTITUTE(SUBSTITUTE(SUBSTITUTE(AO19,"__","_"),"__","_"),"__","_"),"__","_"),"__","_"),"__","_"),"__","_"),"__","_"))</f>
        <v/>
      </c>
      <c r="AQ19" s="4">
        <f>IF(OR(AP19="",AP19="_"),"",IF(LEFT(AP19,1)="_",IF(RIGHT(AP19,1)="_",MID(AP19,2,LEN(AP19)-2),RIGHT(AP19,LEN(AP19)-1)),IF(RIGHT(AP19,1)="_",LEFT(AP19,LEN(AP19)-1),AP19)))</f>
        <v/>
      </c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>
        <f>IF(AK20&lt;&gt;"",AK20,"")&amp;IF(AN20&lt;&gt;"",IF(AK20&lt;&gt;"","_"&amp;AN20,AN20),"")&amp;IF(AQ20&lt;&gt;"",IF(AK20&lt;&gt;"","_"&amp;AQ20,AQ20),"")</f>
        <v/>
      </c>
      <c r="I20" s="4">
        <f>IF(TRIM(G20)&lt;&gt;"",TRIM(G20),H20)</f>
        <v/>
      </c>
      <c r="J20" s="4">
        <f>IF(OR(A20="",B20="",C20="",D20=""),"Missing required field — fill in product, metric_key, segment, and metric before this row can be used.",IF(H20="","Missing required field — product, metric_key, and segment must combine into an ID.",IF(COUNTIF($I$8:$I$32,I20)&gt;1,"Duplicate outcome ID — two rows currently build the same outcome_id; add a distinguishing detail.",IF(AND(F20&lt;&gt;"",F20&lt;&gt;I20),"Existing outcome_id differs from the built ID — review before using.","Ready"))))</f>
        <v/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n"/>
      <c r="AH20" s="4" t="n"/>
      <c r="AI20" s="4">
        <f>IF(OR(LOWER(TRIM(A20))="",LOWER(TRIM(A20))="nan",LOWER(TRIM(A20))="none",LOWER(TRIM(A20)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0" s="4">
        <f>IF(AI20="","",SUBSTITUTE(SUBSTITUTE(SUBSTITUTE(SUBSTITUTE(SUBSTITUTE(SUBSTITUTE(SUBSTITUTE(SUBSTITUTE(AI20,"__","_"),"__","_"),"__","_"),"__","_"),"__","_"),"__","_"),"__","_"),"__","_"))</f>
        <v/>
      </c>
      <c r="AK20" s="4">
        <f>IF(OR(AJ20="",AJ20="_"),"",IF(LEFT(AJ20,1)="_",IF(RIGHT(AJ20,1)="_",MID(AJ20,2,LEN(AJ20)-2),RIGHT(AJ20,LEN(AJ20)-1)),IF(RIGHT(AJ20,1)="_",LEFT(AJ20,LEN(AJ20)-1),AJ20)))</f>
        <v/>
      </c>
      <c r="AL20" s="4">
        <f>IF(OR(LOWER(TRIM(B20))="",LOWER(TRIM(B20))="nan",LOWER(TRIM(B20))="none",LOWER(TRIM(B20)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0" s="4">
        <f>IF(AL20="","",SUBSTITUTE(SUBSTITUTE(SUBSTITUTE(SUBSTITUTE(SUBSTITUTE(SUBSTITUTE(SUBSTITUTE(SUBSTITUTE(AL20,"__","_"),"__","_"),"__","_"),"__","_"),"__","_"),"__","_"),"__","_"),"__","_"))</f>
        <v/>
      </c>
      <c r="AN20" s="4">
        <f>IF(OR(AM20="",AM20="_"),"",IF(LEFT(AM20,1)="_",IF(RIGHT(AM20,1)="_",MID(AM20,2,LEN(AM20)-2),RIGHT(AM20,LEN(AM20)-1)),IF(RIGHT(AM20,1)="_",LEFT(AM20,LEN(AM20)-1),AM20)))</f>
        <v/>
      </c>
      <c r="AO20" s="4">
        <f>IF(OR(LOWER(TRIM(C20))="",LOWER(TRIM(C20))="nan",LOWER(TRIM(C20))="none",LOWER(TRIM(C20)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0" s="4">
        <f>IF(AO20="","",SUBSTITUTE(SUBSTITUTE(SUBSTITUTE(SUBSTITUTE(SUBSTITUTE(SUBSTITUTE(SUBSTITUTE(SUBSTITUTE(AO20,"__","_"),"__","_"),"__","_"),"__","_"),"__","_"),"__","_"),"__","_"),"__","_"))</f>
        <v/>
      </c>
      <c r="AQ20" s="4">
        <f>IF(OR(AP20="",AP20="_"),"",IF(LEFT(AP20,1)="_",IF(RIGHT(AP20,1)="_",MID(AP20,2,LEN(AP20)-2),RIGHT(AP20,LEN(AP20)-1)),IF(RIGHT(AP20,1)="_",LEFT(AP20,LEN(AP20)-1),AP20)))</f>
        <v/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>
        <f>IF(AK21&lt;&gt;"",AK21,"")&amp;IF(AN21&lt;&gt;"",IF(AK21&lt;&gt;"","_"&amp;AN21,AN21),"")&amp;IF(AQ21&lt;&gt;"",IF(AK21&lt;&gt;"","_"&amp;AQ21,AQ21),"")</f>
        <v/>
      </c>
      <c r="I21" s="4">
        <f>IF(TRIM(G21)&lt;&gt;"",TRIM(G21),H21)</f>
        <v/>
      </c>
      <c r="J21" s="4">
        <f>IF(OR(A21="",B21="",C21="",D21=""),"Missing required field — fill in product, metric_key, segment, and metric before this row can be used.",IF(H21="","Missing required field — product, metric_key, and segment must combine into an ID.",IF(COUNTIF($I$8:$I$32,I21)&gt;1,"Duplicate outcome ID — two rows currently build the same outcome_id; add a distinguishing detail.",IF(AND(F21&lt;&gt;"",F21&lt;&gt;I21),"Existing outcome_id differs from the built ID — review before using.","Ready"))))</f>
        <v/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n"/>
      <c r="AH21" s="4" t="n"/>
      <c r="AI21" s="4">
        <f>IF(OR(LOWER(TRIM(A21))="",LOWER(TRIM(A21))="nan",LOWER(TRIM(A21))="none",LOWER(TRIM(A21)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1" s="4">
        <f>IF(AI21="","",SUBSTITUTE(SUBSTITUTE(SUBSTITUTE(SUBSTITUTE(SUBSTITUTE(SUBSTITUTE(SUBSTITUTE(SUBSTITUTE(AI21,"__","_"),"__","_"),"__","_"),"__","_"),"__","_"),"__","_"),"__","_"),"__","_"))</f>
        <v/>
      </c>
      <c r="AK21" s="4">
        <f>IF(OR(AJ21="",AJ21="_"),"",IF(LEFT(AJ21,1)="_",IF(RIGHT(AJ21,1)="_",MID(AJ21,2,LEN(AJ21)-2),RIGHT(AJ21,LEN(AJ21)-1)),IF(RIGHT(AJ21,1)="_",LEFT(AJ21,LEN(AJ21)-1),AJ21)))</f>
        <v/>
      </c>
      <c r="AL21" s="4">
        <f>IF(OR(LOWER(TRIM(B21))="",LOWER(TRIM(B21))="nan",LOWER(TRIM(B21))="none",LOWER(TRIM(B21)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1" s="4">
        <f>IF(AL21="","",SUBSTITUTE(SUBSTITUTE(SUBSTITUTE(SUBSTITUTE(SUBSTITUTE(SUBSTITUTE(SUBSTITUTE(SUBSTITUTE(AL21,"__","_"),"__","_"),"__","_"),"__","_"),"__","_"),"__","_"),"__","_"),"__","_"))</f>
        <v/>
      </c>
      <c r="AN21" s="4">
        <f>IF(OR(AM21="",AM21="_"),"",IF(LEFT(AM21,1)="_",IF(RIGHT(AM21,1)="_",MID(AM21,2,LEN(AM21)-2),RIGHT(AM21,LEN(AM21)-1)),IF(RIGHT(AM21,1)="_",LEFT(AM21,LEN(AM21)-1),AM21)))</f>
        <v/>
      </c>
      <c r="AO21" s="4">
        <f>IF(OR(LOWER(TRIM(C21))="",LOWER(TRIM(C21))="nan",LOWER(TRIM(C21))="none",LOWER(TRIM(C21)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1" s="4">
        <f>IF(AO21="","",SUBSTITUTE(SUBSTITUTE(SUBSTITUTE(SUBSTITUTE(SUBSTITUTE(SUBSTITUTE(SUBSTITUTE(SUBSTITUTE(AO21,"__","_"),"__","_"),"__","_"),"__","_"),"__","_"),"__","_"),"__","_"),"__","_"))</f>
        <v/>
      </c>
      <c r="AQ21" s="4">
        <f>IF(OR(AP21="",AP21="_"),"",IF(LEFT(AP21,1)="_",IF(RIGHT(AP21,1)="_",MID(AP21,2,LEN(AP21)-2),RIGHT(AP21,LEN(AP21)-1)),IF(RIGHT(AP21,1)="_",LEFT(AP21,LEN(AP21)-1),AP21)))</f>
        <v/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>
        <f>IF(AK22&lt;&gt;"",AK22,"")&amp;IF(AN22&lt;&gt;"",IF(AK22&lt;&gt;"","_"&amp;AN22,AN22),"")&amp;IF(AQ22&lt;&gt;"",IF(AK22&lt;&gt;"","_"&amp;AQ22,AQ22),"")</f>
        <v/>
      </c>
      <c r="I22" s="4">
        <f>IF(TRIM(G22)&lt;&gt;"",TRIM(G22),H22)</f>
        <v/>
      </c>
      <c r="J22" s="4">
        <f>IF(OR(A22="",B22="",C22="",D22=""),"Missing required field — fill in product, metric_key, segment, and metric before this row can be used.",IF(H22="","Missing required field — product, metric_key, and segment must combine into an ID.",IF(COUNTIF($I$8:$I$32,I22)&gt;1,"Duplicate outcome ID — two rows currently build the same outcome_id; add a distinguishing detail.",IF(AND(F22&lt;&gt;"",F22&lt;&gt;I22),"Existing outcome_id differs from the built ID — review before using.","Ready"))))</f>
        <v/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n"/>
      <c r="AH22" s="4" t="n"/>
      <c r="AI22" s="4">
        <f>IF(OR(LOWER(TRIM(A22))="",LOWER(TRIM(A22))="nan",LOWER(TRIM(A22))="none",LOWER(TRIM(A22)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2" s="4">
        <f>IF(AI22="","",SUBSTITUTE(SUBSTITUTE(SUBSTITUTE(SUBSTITUTE(SUBSTITUTE(SUBSTITUTE(SUBSTITUTE(SUBSTITUTE(AI22,"__","_"),"__","_"),"__","_"),"__","_"),"__","_"),"__","_"),"__","_"),"__","_"))</f>
        <v/>
      </c>
      <c r="AK22" s="4">
        <f>IF(OR(AJ22="",AJ22="_"),"",IF(LEFT(AJ22,1)="_",IF(RIGHT(AJ22,1)="_",MID(AJ22,2,LEN(AJ22)-2),RIGHT(AJ22,LEN(AJ22)-1)),IF(RIGHT(AJ22,1)="_",LEFT(AJ22,LEN(AJ22)-1),AJ22)))</f>
        <v/>
      </c>
      <c r="AL22" s="4">
        <f>IF(OR(LOWER(TRIM(B22))="",LOWER(TRIM(B22))="nan",LOWER(TRIM(B22))="none",LOWER(TRIM(B22)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2" s="4">
        <f>IF(AL22="","",SUBSTITUTE(SUBSTITUTE(SUBSTITUTE(SUBSTITUTE(SUBSTITUTE(SUBSTITUTE(SUBSTITUTE(SUBSTITUTE(AL22,"__","_"),"__","_"),"__","_"),"__","_"),"__","_"),"__","_"),"__","_"),"__","_"))</f>
        <v/>
      </c>
      <c r="AN22" s="4">
        <f>IF(OR(AM22="",AM22="_"),"",IF(LEFT(AM22,1)="_",IF(RIGHT(AM22,1)="_",MID(AM22,2,LEN(AM22)-2),RIGHT(AM22,LEN(AM22)-1)),IF(RIGHT(AM22,1)="_",LEFT(AM22,LEN(AM22)-1),AM22)))</f>
        <v/>
      </c>
      <c r="AO22" s="4">
        <f>IF(OR(LOWER(TRIM(C22))="",LOWER(TRIM(C22))="nan",LOWER(TRIM(C22))="none",LOWER(TRIM(C22)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2" s="4">
        <f>IF(AO22="","",SUBSTITUTE(SUBSTITUTE(SUBSTITUTE(SUBSTITUTE(SUBSTITUTE(SUBSTITUTE(SUBSTITUTE(SUBSTITUTE(AO22,"__","_"),"__","_"),"__","_"),"__","_"),"__","_"),"__","_"),"__","_"),"__","_"))</f>
        <v/>
      </c>
      <c r="AQ22" s="4">
        <f>IF(OR(AP22="",AP22="_"),"",IF(LEFT(AP22,1)="_",IF(RIGHT(AP22,1)="_",MID(AP22,2,LEN(AP22)-2),RIGHT(AP22,LEN(AP22)-1)),IF(RIGHT(AP22,1)="_",LEFT(AP22,LEN(AP22)-1),AP22)))</f>
        <v/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>
        <f>IF(AK23&lt;&gt;"",AK23,"")&amp;IF(AN23&lt;&gt;"",IF(AK23&lt;&gt;"","_"&amp;AN23,AN23),"")&amp;IF(AQ23&lt;&gt;"",IF(AK23&lt;&gt;"","_"&amp;AQ23,AQ23),"")</f>
        <v/>
      </c>
      <c r="I23" s="4">
        <f>IF(TRIM(G23)&lt;&gt;"",TRIM(G23),H23)</f>
        <v/>
      </c>
      <c r="J23" s="4">
        <f>IF(OR(A23="",B23="",C23="",D23=""),"Missing required field — fill in product, metric_key, segment, and metric before this row can be used.",IF(H23="","Missing required field — product, metric_key, and segment must combine into an ID.",IF(COUNTIF($I$8:$I$32,I23)&gt;1,"Duplicate outcome ID — two rows currently build the same outcome_id; add a distinguishing detail.",IF(AND(F23&lt;&gt;"",F23&lt;&gt;I23),"Existing outcome_id differs from the built ID — review before using.","Ready"))))</f>
        <v/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n"/>
      <c r="AH23" s="4" t="n"/>
      <c r="AI23" s="4">
        <f>IF(OR(LOWER(TRIM(A23))="",LOWER(TRIM(A23))="nan",LOWER(TRIM(A23))="none",LOWER(TRIM(A23)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3" s="4">
        <f>IF(AI23="","",SUBSTITUTE(SUBSTITUTE(SUBSTITUTE(SUBSTITUTE(SUBSTITUTE(SUBSTITUTE(SUBSTITUTE(SUBSTITUTE(AI23,"__","_"),"__","_"),"__","_"),"__","_"),"__","_"),"__","_"),"__","_"),"__","_"))</f>
        <v/>
      </c>
      <c r="AK23" s="4">
        <f>IF(OR(AJ23="",AJ23="_"),"",IF(LEFT(AJ23,1)="_",IF(RIGHT(AJ23,1)="_",MID(AJ23,2,LEN(AJ23)-2),RIGHT(AJ23,LEN(AJ23)-1)),IF(RIGHT(AJ23,1)="_",LEFT(AJ23,LEN(AJ23)-1),AJ23)))</f>
        <v/>
      </c>
      <c r="AL23" s="4">
        <f>IF(OR(LOWER(TRIM(B23))="",LOWER(TRIM(B23))="nan",LOWER(TRIM(B23))="none",LOWER(TRIM(B23)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3" s="4">
        <f>IF(AL23="","",SUBSTITUTE(SUBSTITUTE(SUBSTITUTE(SUBSTITUTE(SUBSTITUTE(SUBSTITUTE(SUBSTITUTE(SUBSTITUTE(AL23,"__","_"),"__","_"),"__","_"),"__","_"),"__","_"),"__","_"),"__","_"),"__","_"))</f>
        <v/>
      </c>
      <c r="AN23" s="4">
        <f>IF(OR(AM23="",AM23="_"),"",IF(LEFT(AM23,1)="_",IF(RIGHT(AM23,1)="_",MID(AM23,2,LEN(AM23)-2),RIGHT(AM23,LEN(AM23)-1)),IF(RIGHT(AM23,1)="_",LEFT(AM23,LEN(AM23)-1),AM23)))</f>
        <v/>
      </c>
      <c r="AO23" s="4">
        <f>IF(OR(LOWER(TRIM(C23))="",LOWER(TRIM(C23))="nan",LOWER(TRIM(C23))="none",LOWER(TRIM(C23)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3" s="4">
        <f>IF(AO23="","",SUBSTITUTE(SUBSTITUTE(SUBSTITUTE(SUBSTITUTE(SUBSTITUTE(SUBSTITUTE(SUBSTITUTE(SUBSTITUTE(AO23,"__","_"),"__","_"),"__","_"),"__","_"),"__","_"),"__","_"),"__","_"),"__","_"))</f>
        <v/>
      </c>
      <c r="AQ23" s="4">
        <f>IF(OR(AP23="",AP23="_"),"",IF(LEFT(AP23,1)="_",IF(RIGHT(AP23,1)="_",MID(AP23,2,LEN(AP23)-2),RIGHT(AP23,LEN(AP23)-1)),IF(RIGHT(AP23,1)="_",LEFT(AP23,LEN(AP23)-1),AP23)))</f>
        <v/>
      </c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>
        <f>IF(AK24&lt;&gt;"",AK24,"")&amp;IF(AN24&lt;&gt;"",IF(AK24&lt;&gt;"","_"&amp;AN24,AN24),"")&amp;IF(AQ24&lt;&gt;"",IF(AK24&lt;&gt;"","_"&amp;AQ24,AQ24),"")</f>
        <v/>
      </c>
      <c r="I24" s="4">
        <f>IF(TRIM(G24)&lt;&gt;"",TRIM(G24),H24)</f>
        <v/>
      </c>
      <c r="J24" s="4">
        <f>IF(OR(A24="",B24="",C24="",D24=""),"Missing required field — fill in product, metric_key, segment, and metric before this row can be used.",IF(H24="","Missing required field — product, metric_key, and segment must combine into an ID.",IF(COUNTIF($I$8:$I$32,I24)&gt;1,"Duplicate outcome ID — two rows currently build the same outcome_id; add a distinguishing detail.",IF(AND(F24&lt;&gt;"",F24&lt;&gt;I24),"Existing outcome_id differs from the built ID — review before using.","Ready"))))</f>
        <v/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n"/>
      <c r="AH24" s="4" t="n"/>
      <c r="AI24" s="4">
        <f>IF(OR(LOWER(TRIM(A24))="",LOWER(TRIM(A24))="nan",LOWER(TRIM(A24))="none",LOWER(TRIM(A24)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4" s="4">
        <f>IF(AI24="","",SUBSTITUTE(SUBSTITUTE(SUBSTITUTE(SUBSTITUTE(SUBSTITUTE(SUBSTITUTE(SUBSTITUTE(SUBSTITUTE(AI24,"__","_"),"__","_"),"__","_"),"__","_"),"__","_"),"__","_"),"__","_"),"__","_"))</f>
        <v/>
      </c>
      <c r="AK24" s="4">
        <f>IF(OR(AJ24="",AJ24="_"),"",IF(LEFT(AJ24,1)="_",IF(RIGHT(AJ24,1)="_",MID(AJ24,2,LEN(AJ24)-2),RIGHT(AJ24,LEN(AJ24)-1)),IF(RIGHT(AJ24,1)="_",LEFT(AJ24,LEN(AJ24)-1),AJ24)))</f>
        <v/>
      </c>
      <c r="AL24" s="4">
        <f>IF(OR(LOWER(TRIM(B24))="",LOWER(TRIM(B24))="nan",LOWER(TRIM(B24))="none",LOWER(TRIM(B24)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4" s="4">
        <f>IF(AL24="","",SUBSTITUTE(SUBSTITUTE(SUBSTITUTE(SUBSTITUTE(SUBSTITUTE(SUBSTITUTE(SUBSTITUTE(SUBSTITUTE(AL24,"__","_"),"__","_"),"__","_"),"__","_"),"__","_"),"__","_"),"__","_"),"__","_"))</f>
        <v/>
      </c>
      <c r="AN24" s="4">
        <f>IF(OR(AM24="",AM24="_"),"",IF(LEFT(AM24,1)="_",IF(RIGHT(AM24,1)="_",MID(AM24,2,LEN(AM24)-2),RIGHT(AM24,LEN(AM24)-1)),IF(RIGHT(AM24,1)="_",LEFT(AM24,LEN(AM24)-1),AM24)))</f>
        <v/>
      </c>
      <c r="AO24" s="4">
        <f>IF(OR(LOWER(TRIM(C24))="",LOWER(TRIM(C24))="nan",LOWER(TRIM(C24))="none",LOWER(TRIM(C24)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4" s="4">
        <f>IF(AO24="","",SUBSTITUTE(SUBSTITUTE(SUBSTITUTE(SUBSTITUTE(SUBSTITUTE(SUBSTITUTE(SUBSTITUTE(SUBSTITUTE(AO24,"__","_"),"__","_"),"__","_"),"__","_"),"__","_"),"__","_"),"__","_"),"__","_"))</f>
        <v/>
      </c>
      <c r="AQ24" s="4">
        <f>IF(OR(AP24="",AP24="_"),"",IF(LEFT(AP24,1)="_",IF(RIGHT(AP24,1)="_",MID(AP24,2,LEN(AP24)-2),RIGHT(AP24,LEN(AP24)-1)),IF(RIGHT(AP24,1)="_",LEFT(AP24,LEN(AP24)-1),AP24)))</f>
        <v/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>
        <f>IF(AK25&lt;&gt;"",AK25,"")&amp;IF(AN25&lt;&gt;"",IF(AK25&lt;&gt;"","_"&amp;AN25,AN25),"")&amp;IF(AQ25&lt;&gt;"",IF(AK25&lt;&gt;"","_"&amp;AQ25,AQ25),"")</f>
        <v/>
      </c>
      <c r="I25" s="4">
        <f>IF(TRIM(G25)&lt;&gt;"",TRIM(G25),H25)</f>
        <v/>
      </c>
      <c r="J25" s="4">
        <f>IF(OR(A25="",B25="",C25="",D25=""),"Missing required field — fill in product, metric_key, segment, and metric before this row can be used.",IF(H25="","Missing required field — product, metric_key, and segment must combine into an ID.",IF(COUNTIF($I$8:$I$32,I25)&gt;1,"Duplicate outcome ID — two rows currently build the same outcome_id; add a distinguishing detail.",IF(AND(F25&lt;&gt;"",F25&lt;&gt;I25),"Existing outcome_id differs from the built ID — review before using.","Ready"))))</f>
        <v/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n"/>
      <c r="AH25" s="4" t="n"/>
      <c r="AI25" s="4">
        <f>IF(OR(LOWER(TRIM(A25))="",LOWER(TRIM(A25))="nan",LOWER(TRIM(A25))="none",LOWER(TRIM(A25)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5" s="4">
        <f>IF(AI25="","",SUBSTITUTE(SUBSTITUTE(SUBSTITUTE(SUBSTITUTE(SUBSTITUTE(SUBSTITUTE(SUBSTITUTE(SUBSTITUTE(AI25,"__","_"),"__","_"),"__","_"),"__","_"),"__","_"),"__","_"),"__","_"),"__","_"))</f>
        <v/>
      </c>
      <c r="AK25" s="4">
        <f>IF(OR(AJ25="",AJ25="_"),"",IF(LEFT(AJ25,1)="_",IF(RIGHT(AJ25,1)="_",MID(AJ25,2,LEN(AJ25)-2),RIGHT(AJ25,LEN(AJ25)-1)),IF(RIGHT(AJ25,1)="_",LEFT(AJ25,LEN(AJ25)-1),AJ25)))</f>
        <v/>
      </c>
      <c r="AL25" s="4">
        <f>IF(OR(LOWER(TRIM(B25))="",LOWER(TRIM(B25))="nan",LOWER(TRIM(B25))="none",LOWER(TRIM(B25)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5" s="4">
        <f>IF(AL25="","",SUBSTITUTE(SUBSTITUTE(SUBSTITUTE(SUBSTITUTE(SUBSTITUTE(SUBSTITUTE(SUBSTITUTE(SUBSTITUTE(AL25,"__","_"),"__","_"),"__","_"),"__","_"),"__","_"),"__","_"),"__","_"),"__","_"))</f>
        <v/>
      </c>
      <c r="AN25" s="4">
        <f>IF(OR(AM25="",AM25="_"),"",IF(LEFT(AM25,1)="_",IF(RIGHT(AM25,1)="_",MID(AM25,2,LEN(AM25)-2),RIGHT(AM25,LEN(AM25)-1)),IF(RIGHT(AM25,1)="_",LEFT(AM25,LEN(AM25)-1),AM25)))</f>
        <v/>
      </c>
      <c r="AO25" s="4">
        <f>IF(OR(LOWER(TRIM(C25))="",LOWER(TRIM(C25))="nan",LOWER(TRIM(C25))="none",LOWER(TRIM(C25)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5" s="4">
        <f>IF(AO25="","",SUBSTITUTE(SUBSTITUTE(SUBSTITUTE(SUBSTITUTE(SUBSTITUTE(SUBSTITUTE(SUBSTITUTE(SUBSTITUTE(AO25,"__","_"),"__","_"),"__","_"),"__","_"),"__","_"),"__","_"),"__","_"),"__","_"))</f>
        <v/>
      </c>
      <c r="AQ25" s="4">
        <f>IF(OR(AP25="",AP25="_"),"",IF(LEFT(AP25,1)="_",IF(RIGHT(AP25,1)="_",MID(AP25,2,LEN(AP25)-2),RIGHT(AP25,LEN(AP25)-1)),IF(RIGHT(AP25,1)="_",LEFT(AP25,LEN(AP25)-1),AP25)))</f>
        <v/>
      </c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>
        <f>IF(AK26&lt;&gt;"",AK26,"")&amp;IF(AN26&lt;&gt;"",IF(AK26&lt;&gt;"","_"&amp;AN26,AN26),"")&amp;IF(AQ26&lt;&gt;"",IF(AK26&lt;&gt;"","_"&amp;AQ26,AQ26),"")</f>
        <v/>
      </c>
      <c r="I26" s="4">
        <f>IF(TRIM(G26)&lt;&gt;"",TRIM(G26),H26)</f>
        <v/>
      </c>
      <c r="J26" s="4">
        <f>IF(OR(A26="",B26="",C26="",D26=""),"Missing required field — fill in product, metric_key, segment, and metric before this row can be used.",IF(H26="","Missing required field — product, metric_key, and segment must combine into an ID.",IF(COUNTIF($I$8:$I$32,I26)&gt;1,"Duplicate outcome ID — two rows currently build the same outcome_id; add a distinguishing detail.",IF(AND(F26&lt;&gt;"",F26&lt;&gt;I26),"Existing outcome_id differs from the built ID — review before using.","Ready"))))</f>
        <v/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n"/>
      <c r="AH26" s="4" t="n"/>
      <c r="AI26" s="4">
        <f>IF(OR(LOWER(TRIM(A26))="",LOWER(TRIM(A26))="nan",LOWER(TRIM(A26))="none",LOWER(TRIM(A26)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26)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6" s="4">
        <f>IF(AI26="","",SUBSTITUTE(SUBSTITUTE(SUBSTITUTE(SUBSTITUTE(SUBSTITUTE(SUBSTITUTE(SUBSTITUTE(SUBSTITUTE(AI26,"__","_"),"__","_"),"__","_"),"__","_"),"__","_"),"__","_"),"__","_"),"__","_"))</f>
        <v/>
      </c>
      <c r="AK26" s="4">
        <f>IF(OR(AJ26="",AJ26="_"),"",IF(LEFT(AJ26,1)="_",IF(RIGHT(AJ26,1)="_",MID(AJ26,2,LEN(AJ26)-2),RIGHT(AJ26,LEN(AJ26)-1)),IF(RIGHT(AJ26,1)="_",LEFT(AJ26,LEN(AJ26)-1),AJ26)))</f>
        <v/>
      </c>
      <c r="AL26" s="4">
        <f>IF(OR(LOWER(TRIM(B26))="",LOWER(TRIM(B26))="nan",LOWER(TRIM(B26))="none",LOWER(TRIM(B26)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26)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6" s="4">
        <f>IF(AL26="","",SUBSTITUTE(SUBSTITUTE(SUBSTITUTE(SUBSTITUTE(SUBSTITUTE(SUBSTITUTE(SUBSTITUTE(SUBSTITUTE(AL26,"__","_"),"__","_"),"__","_"),"__","_"),"__","_"),"__","_"),"__","_"),"__","_"))</f>
        <v/>
      </c>
      <c r="AN26" s="4">
        <f>IF(OR(AM26="",AM26="_"),"",IF(LEFT(AM26,1)="_",IF(RIGHT(AM26,1)="_",MID(AM26,2,LEN(AM26)-2),RIGHT(AM26,LEN(AM26)-1)),IF(RIGHT(AM26,1)="_",LEFT(AM26,LEN(AM26)-1),AM26)))</f>
        <v/>
      </c>
      <c r="AO26" s="4">
        <f>IF(OR(LOWER(TRIM(C26))="",LOWER(TRIM(C26))="nan",LOWER(TRIM(C26))="none",LOWER(TRIM(C26)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26)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6" s="4">
        <f>IF(AO26="","",SUBSTITUTE(SUBSTITUTE(SUBSTITUTE(SUBSTITUTE(SUBSTITUTE(SUBSTITUTE(SUBSTITUTE(SUBSTITUTE(AO26,"__","_"),"__","_"),"__","_"),"__","_"),"__","_"),"__","_"),"__","_"),"__","_"))</f>
        <v/>
      </c>
      <c r="AQ26" s="4">
        <f>IF(OR(AP26="",AP26="_"),"",IF(LEFT(AP26,1)="_",IF(RIGHT(AP26,1)="_",MID(AP26,2,LEN(AP26)-2),RIGHT(AP26,LEN(AP26)-1)),IF(RIGHT(AP26,1)="_",LEFT(AP26,LEN(AP26)-1),AP26)))</f>
        <v/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>
        <f>IF(AK27&lt;&gt;"",AK27,"")&amp;IF(AN27&lt;&gt;"",IF(AK27&lt;&gt;"","_"&amp;AN27,AN27),"")&amp;IF(AQ27&lt;&gt;"",IF(AK27&lt;&gt;"","_"&amp;AQ27,AQ27),"")</f>
        <v/>
      </c>
      <c r="I27" s="4">
        <f>IF(TRIM(G27)&lt;&gt;"",TRIM(G27),H27)</f>
        <v/>
      </c>
      <c r="J27" s="4">
        <f>IF(OR(A27="",B27="",C27="",D27=""),"Missing required field — fill in product, metric_key, segment, and metric before this row can be used.",IF(H27="","Missing required field — product, metric_key, and segment must combine into an ID.",IF(COUNTIF($I$8:$I$32,I27)&gt;1,"Duplicate outcome ID — two rows currently build the same outcome_id; add a distinguishing detail.",IF(AND(F27&lt;&gt;"",F27&lt;&gt;I27),"Existing outcome_id differs from the built ID — review before using.","Ready"))))</f>
        <v/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n"/>
      <c r="AH27" s="4" t="n"/>
      <c r="AI27" s="4">
        <f>IF(OR(LOWER(TRIM(A27))="",LOWER(TRIM(A27))="nan",LOWER(TRIM(A27))="none",LOWER(TRIM(A27)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27)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7" s="4">
        <f>IF(AI27="","",SUBSTITUTE(SUBSTITUTE(SUBSTITUTE(SUBSTITUTE(SUBSTITUTE(SUBSTITUTE(SUBSTITUTE(SUBSTITUTE(AI27,"__","_"),"__","_"),"__","_"),"__","_"),"__","_"),"__","_"),"__","_"),"__","_"))</f>
        <v/>
      </c>
      <c r="AK27" s="4">
        <f>IF(OR(AJ27="",AJ27="_"),"",IF(LEFT(AJ27,1)="_",IF(RIGHT(AJ27,1)="_",MID(AJ27,2,LEN(AJ27)-2),RIGHT(AJ27,LEN(AJ27)-1)),IF(RIGHT(AJ27,1)="_",LEFT(AJ27,LEN(AJ27)-1),AJ27)))</f>
        <v/>
      </c>
      <c r="AL27" s="4">
        <f>IF(OR(LOWER(TRIM(B27))="",LOWER(TRIM(B27))="nan",LOWER(TRIM(B27))="none",LOWER(TRIM(B27)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27)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7" s="4">
        <f>IF(AL27="","",SUBSTITUTE(SUBSTITUTE(SUBSTITUTE(SUBSTITUTE(SUBSTITUTE(SUBSTITUTE(SUBSTITUTE(SUBSTITUTE(AL27,"__","_"),"__","_"),"__","_"),"__","_"),"__","_"),"__","_"),"__","_"),"__","_"))</f>
        <v/>
      </c>
      <c r="AN27" s="4">
        <f>IF(OR(AM27="",AM27="_"),"",IF(LEFT(AM27,1)="_",IF(RIGHT(AM27,1)="_",MID(AM27,2,LEN(AM27)-2),RIGHT(AM27,LEN(AM27)-1)),IF(RIGHT(AM27,1)="_",LEFT(AM27,LEN(AM27)-1),AM27)))</f>
        <v/>
      </c>
      <c r="AO27" s="4">
        <f>IF(OR(LOWER(TRIM(C27))="",LOWER(TRIM(C27))="nan",LOWER(TRIM(C27))="none",LOWER(TRIM(C27)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27)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7" s="4">
        <f>IF(AO27="","",SUBSTITUTE(SUBSTITUTE(SUBSTITUTE(SUBSTITUTE(SUBSTITUTE(SUBSTITUTE(SUBSTITUTE(SUBSTITUTE(AO27,"__","_"),"__","_"),"__","_"),"__","_"),"__","_"),"__","_"),"__","_"),"__","_"))</f>
        <v/>
      </c>
      <c r="AQ27" s="4">
        <f>IF(OR(AP27="",AP27="_"),"",IF(LEFT(AP27,1)="_",IF(RIGHT(AP27,1)="_",MID(AP27,2,LEN(AP27)-2),RIGHT(AP27,LEN(AP27)-1)),IF(RIGHT(AP27,1)="_",LEFT(AP27,LEN(AP27)-1),AP27)))</f>
        <v/>
      </c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>
        <f>IF(AK28&lt;&gt;"",AK28,"")&amp;IF(AN28&lt;&gt;"",IF(AK28&lt;&gt;"","_"&amp;AN28,AN28),"")&amp;IF(AQ28&lt;&gt;"",IF(AK28&lt;&gt;"","_"&amp;AQ28,AQ28),"")</f>
        <v/>
      </c>
      <c r="I28" s="4">
        <f>IF(TRIM(G28)&lt;&gt;"",TRIM(G28),H28)</f>
        <v/>
      </c>
      <c r="J28" s="4">
        <f>IF(OR(A28="",B28="",C28="",D28=""),"Missing required field — fill in product, metric_key, segment, and metric before this row can be used.",IF(H28="","Missing required field — product, metric_key, and segment must combine into an ID.",IF(COUNTIF($I$8:$I$32,I28)&gt;1,"Duplicate outcome ID — two rows currently build the same outcome_id; add a distinguishing detail.",IF(AND(F28&lt;&gt;"",F28&lt;&gt;I28),"Existing outcome_id differs from the built ID — review before using.","Ready"))))</f>
        <v/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n"/>
      <c r="AH28" s="4" t="n"/>
      <c r="AI28" s="4">
        <f>IF(OR(LOWER(TRIM(A28))="",LOWER(TRIM(A28))="nan",LOWER(TRIM(A28))="none",LOWER(TRIM(A28)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8" s="4">
        <f>IF(AI28="","",SUBSTITUTE(SUBSTITUTE(SUBSTITUTE(SUBSTITUTE(SUBSTITUTE(SUBSTITUTE(SUBSTITUTE(SUBSTITUTE(AI28,"__","_"),"__","_"),"__","_"),"__","_"),"__","_"),"__","_"),"__","_"),"__","_"))</f>
        <v/>
      </c>
      <c r="AK28" s="4">
        <f>IF(OR(AJ28="",AJ28="_"),"",IF(LEFT(AJ28,1)="_",IF(RIGHT(AJ28,1)="_",MID(AJ28,2,LEN(AJ28)-2),RIGHT(AJ28,LEN(AJ28)-1)),IF(RIGHT(AJ28,1)="_",LEFT(AJ28,LEN(AJ28)-1),AJ28)))</f>
        <v/>
      </c>
      <c r="AL28" s="4">
        <f>IF(OR(LOWER(TRIM(B28))="",LOWER(TRIM(B28))="nan",LOWER(TRIM(B28))="none",LOWER(TRIM(B28)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8" s="4">
        <f>IF(AL28="","",SUBSTITUTE(SUBSTITUTE(SUBSTITUTE(SUBSTITUTE(SUBSTITUTE(SUBSTITUTE(SUBSTITUTE(SUBSTITUTE(AL28,"__","_"),"__","_"),"__","_"),"__","_"),"__","_"),"__","_"),"__","_"),"__","_"))</f>
        <v/>
      </c>
      <c r="AN28" s="4">
        <f>IF(OR(AM28="",AM28="_"),"",IF(LEFT(AM28,1)="_",IF(RIGHT(AM28,1)="_",MID(AM28,2,LEN(AM28)-2),RIGHT(AM28,LEN(AM28)-1)),IF(RIGHT(AM28,1)="_",LEFT(AM28,LEN(AM28)-1),AM28)))</f>
        <v/>
      </c>
      <c r="AO28" s="4">
        <f>IF(OR(LOWER(TRIM(C28))="",LOWER(TRIM(C28))="nan",LOWER(TRIM(C28))="none",LOWER(TRIM(C28)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8" s="4">
        <f>IF(AO28="","",SUBSTITUTE(SUBSTITUTE(SUBSTITUTE(SUBSTITUTE(SUBSTITUTE(SUBSTITUTE(SUBSTITUTE(SUBSTITUTE(AO28,"__","_"),"__","_"),"__","_"),"__","_"),"__","_"),"__","_"),"__","_"),"__","_"))</f>
        <v/>
      </c>
      <c r="AQ28" s="4">
        <f>IF(OR(AP28="",AP28="_"),"",IF(LEFT(AP28,1)="_",IF(RIGHT(AP28,1)="_",MID(AP28,2,LEN(AP28)-2),RIGHT(AP28,LEN(AP28)-1)),IF(RIGHT(AP28,1)="_",LEFT(AP28,LEN(AP28)-1),AP28)))</f>
        <v/>
      </c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>
        <f>IF(AK29&lt;&gt;"",AK29,"")&amp;IF(AN29&lt;&gt;"",IF(AK29&lt;&gt;"","_"&amp;AN29,AN29),"")&amp;IF(AQ29&lt;&gt;"",IF(AK29&lt;&gt;"","_"&amp;AQ29,AQ29),"")</f>
        <v/>
      </c>
      <c r="I29" s="4">
        <f>IF(TRIM(G29)&lt;&gt;"",TRIM(G29),H29)</f>
        <v/>
      </c>
      <c r="J29" s="4">
        <f>IF(OR(A29="",B29="",C29="",D29=""),"Missing required field — fill in product, metric_key, segment, and metric before this row can be used.",IF(H29="","Missing required field — product, metric_key, and segment must combine into an ID.",IF(COUNTIF($I$8:$I$32,I29)&gt;1,"Duplicate outcome ID — two rows currently build the same outcome_id; add a distinguishing detail.",IF(AND(F29&lt;&gt;"",F29&lt;&gt;I29),"Existing outcome_id differs from the built ID — review before using.","Ready"))))</f>
        <v/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n"/>
      <c r="AH29" s="4" t="n"/>
      <c r="AI29" s="4">
        <f>IF(OR(LOWER(TRIM(A29))="",LOWER(TRIM(A29))="nan",LOWER(TRIM(A29))="none",LOWER(TRIM(A29)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29)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29" s="4">
        <f>IF(AI29="","",SUBSTITUTE(SUBSTITUTE(SUBSTITUTE(SUBSTITUTE(SUBSTITUTE(SUBSTITUTE(SUBSTITUTE(SUBSTITUTE(AI29,"__","_"),"__","_"),"__","_"),"__","_"),"__","_"),"__","_"),"__","_"),"__","_"))</f>
        <v/>
      </c>
      <c r="AK29" s="4">
        <f>IF(OR(AJ29="",AJ29="_"),"",IF(LEFT(AJ29,1)="_",IF(RIGHT(AJ29,1)="_",MID(AJ29,2,LEN(AJ29)-2),RIGHT(AJ29,LEN(AJ29)-1)),IF(RIGHT(AJ29,1)="_",LEFT(AJ29,LEN(AJ29)-1),AJ29)))</f>
        <v/>
      </c>
      <c r="AL29" s="4">
        <f>IF(OR(LOWER(TRIM(B29))="",LOWER(TRIM(B29))="nan",LOWER(TRIM(B29))="none",LOWER(TRIM(B29)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29)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29" s="4">
        <f>IF(AL29="","",SUBSTITUTE(SUBSTITUTE(SUBSTITUTE(SUBSTITUTE(SUBSTITUTE(SUBSTITUTE(SUBSTITUTE(SUBSTITUTE(AL29,"__","_"),"__","_"),"__","_"),"__","_"),"__","_"),"__","_"),"__","_"),"__","_"))</f>
        <v/>
      </c>
      <c r="AN29" s="4">
        <f>IF(OR(AM29="",AM29="_"),"",IF(LEFT(AM29,1)="_",IF(RIGHT(AM29,1)="_",MID(AM29,2,LEN(AM29)-2),RIGHT(AM29,LEN(AM29)-1)),IF(RIGHT(AM29,1)="_",LEFT(AM29,LEN(AM29)-1),AM29)))</f>
        <v/>
      </c>
      <c r="AO29" s="4">
        <f>IF(OR(LOWER(TRIM(C29))="",LOWER(TRIM(C29))="nan",LOWER(TRIM(C29))="none",LOWER(TRIM(C29)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29)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29" s="4">
        <f>IF(AO29="","",SUBSTITUTE(SUBSTITUTE(SUBSTITUTE(SUBSTITUTE(SUBSTITUTE(SUBSTITUTE(SUBSTITUTE(SUBSTITUTE(AO29,"__","_"),"__","_"),"__","_"),"__","_"),"__","_"),"__","_"),"__","_"),"__","_"))</f>
        <v/>
      </c>
      <c r="AQ29" s="4">
        <f>IF(OR(AP29="",AP29="_"),"",IF(LEFT(AP29,1)="_",IF(RIGHT(AP29,1)="_",MID(AP29,2,LEN(AP29)-2),RIGHT(AP29,LEN(AP29)-1)),IF(RIGHT(AP29,1)="_",LEFT(AP29,LEN(AP29)-1),AP29)))</f>
        <v/>
      </c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>
        <f>IF(AK30&lt;&gt;"",AK30,"")&amp;IF(AN30&lt;&gt;"",IF(AK30&lt;&gt;"","_"&amp;AN30,AN30),"")&amp;IF(AQ30&lt;&gt;"",IF(AK30&lt;&gt;"","_"&amp;AQ30,AQ30),"")</f>
        <v/>
      </c>
      <c r="I30" s="4">
        <f>IF(TRIM(G30)&lt;&gt;"",TRIM(G30),H30)</f>
        <v/>
      </c>
      <c r="J30" s="4">
        <f>IF(OR(A30="",B30="",C30="",D30=""),"Missing required field — fill in product, metric_key, segment, and metric before this row can be used.",IF(H30="","Missing required field — product, metric_key, and segment must combine into an ID.",IF(COUNTIF($I$8:$I$32,I30)&gt;1,"Duplicate outcome ID — two rows currently build the same outcome_id; add a distinguishing detail.",IF(AND(F30&lt;&gt;"",F30&lt;&gt;I30),"Existing outcome_id differs from the built ID — review before using.","Ready"))))</f>
        <v/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n"/>
      <c r="AH30" s="4" t="n"/>
      <c r="AI30" s="4">
        <f>IF(OR(LOWER(TRIM(A30))="",LOWER(TRIM(A30))="nan",LOWER(TRIM(A30))="none",LOWER(TRIM(A30)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30" s="4">
        <f>IF(AI30="","",SUBSTITUTE(SUBSTITUTE(SUBSTITUTE(SUBSTITUTE(SUBSTITUTE(SUBSTITUTE(SUBSTITUTE(SUBSTITUTE(AI30,"__","_"),"__","_"),"__","_"),"__","_"),"__","_"),"__","_"),"__","_"),"__","_"))</f>
        <v/>
      </c>
      <c r="AK30" s="4">
        <f>IF(OR(AJ30="",AJ30="_"),"",IF(LEFT(AJ30,1)="_",IF(RIGHT(AJ30,1)="_",MID(AJ30,2,LEN(AJ30)-2),RIGHT(AJ30,LEN(AJ30)-1)),IF(RIGHT(AJ30,1)="_",LEFT(AJ30,LEN(AJ30)-1),AJ30)))</f>
        <v/>
      </c>
      <c r="AL30" s="4">
        <f>IF(OR(LOWER(TRIM(B30))="",LOWER(TRIM(B30))="nan",LOWER(TRIM(B30))="none",LOWER(TRIM(B30)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30)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30" s="4">
        <f>IF(AL30="","",SUBSTITUTE(SUBSTITUTE(SUBSTITUTE(SUBSTITUTE(SUBSTITUTE(SUBSTITUTE(SUBSTITUTE(SUBSTITUTE(AL30,"__","_"),"__","_"),"__","_"),"__","_"),"__","_"),"__","_"),"__","_"),"__","_"))</f>
        <v/>
      </c>
      <c r="AN30" s="4">
        <f>IF(OR(AM30="",AM30="_"),"",IF(LEFT(AM30,1)="_",IF(RIGHT(AM30,1)="_",MID(AM30,2,LEN(AM30)-2),RIGHT(AM30,LEN(AM30)-1)),IF(RIGHT(AM30,1)="_",LEFT(AM30,LEN(AM30)-1),AM30)))</f>
        <v/>
      </c>
      <c r="AO30" s="4">
        <f>IF(OR(LOWER(TRIM(C30))="",LOWER(TRIM(C30))="nan",LOWER(TRIM(C30))="none",LOWER(TRIM(C30)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30)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30" s="4">
        <f>IF(AO30="","",SUBSTITUTE(SUBSTITUTE(SUBSTITUTE(SUBSTITUTE(SUBSTITUTE(SUBSTITUTE(SUBSTITUTE(SUBSTITUTE(AO30,"__","_"),"__","_"),"__","_"),"__","_"),"__","_"),"__","_"),"__","_"),"__","_"))</f>
        <v/>
      </c>
      <c r="AQ30" s="4">
        <f>IF(OR(AP30="",AP30="_"),"",IF(LEFT(AP30,1)="_",IF(RIGHT(AP30,1)="_",MID(AP30,2,LEN(AP30)-2),RIGHT(AP30,LEN(AP30)-1)),IF(RIGHT(AP30,1)="_",LEFT(AP30,LEN(AP30)-1),AP30)))</f>
        <v/>
      </c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>
        <f>IF(AK31&lt;&gt;"",AK31,"")&amp;IF(AN31&lt;&gt;"",IF(AK31&lt;&gt;"","_"&amp;AN31,AN31),"")&amp;IF(AQ31&lt;&gt;"",IF(AK31&lt;&gt;"","_"&amp;AQ31,AQ31),"")</f>
        <v/>
      </c>
      <c r="I31" s="4">
        <f>IF(TRIM(G31)&lt;&gt;"",TRIM(G31),H31)</f>
        <v/>
      </c>
      <c r="J31" s="4">
        <f>IF(OR(A31="",B31="",C31="",D31=""),"Missing required field — fill in product, metric_key, segment, and metric before this row can be used.",IF(H31="","Missing required field — product, metric_key, and segment must combine into an ID.",IF(COUNTIF($I$8:$I$32,I31)&gt;1,"Duplicate outcome ID — two rows currently build the same outcome_id; add a distinguishing detail.",IF(AND(F31&lt;&gt;"",F31&lt;&gt;I31),"Existing outcome_id differs from the built ID — review before using.","Ready"))))</f>
        <v/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n"/>
      <c r="AH31" s="4" t="n"/>
      <c r="AI31" s="4">
        <f>IF(OR(LOWER(TRIM(A31))="",LOWER(TRIM(A31))="nan",LOWER(TRIM(A31))="none",LOWER(TRIM(A31)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31" s="4">
        <f>IF(AI31="","",SUBSTITUTE(SUBSTITUTE(SUBSTITUTE(SUBSTITUTE(SUBSTITUTE(SUBSTITUTE(SUBSTITUTE(SUBSTITUTE(AI31,"__","_"),"__","_"),"__","_"),"__","_"),"__","_"),"__","_"),"__","_"),"__","_"))</f>
        <v/>
      </c>
      <c r="AK31" s="4">
        <f>IF(OR(AJ31="",AJ31="_"),"",IF(LEFT(AJ31,1)="_",IF(RIGHT(AJ31,1)="_",MID(AJ31,2,LEN(AJ31)-2),RIGHT(AJ31,LEN(AJ31)-1)),IF(RIGHT(AJ31,1)="_",LEFT(AJ31,LEN(AJ31)-1),AJ31)))</f>
        <v/>
      </c>
      <c r="AL31" s="4">
        <f>IF(OR(LOWER(TRIM(B31))="",LOWER(TRIM(B31))="nan",LOWER(TRIM(B31))="none",LOWER(TRIM(B31)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31)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31" s="4">
        <f>IF(AL31="","",SUBSTITUTE(SUBSTITUTE(SUBSTITUTE(SUBSTITUTE(SUBSTITUTE(SUBSTITUTE(SUBSTITUTE(SUBSTITUTE(AL31,"__","_"),"__","_"),"__","_"),"__","_"),"__","_"),"__","_"),"__","_"),"__","_"))</f>
        <v/>
      </c>
      <c r="AN31" s="4">
        <f>IF(OR(AM31="",AM31="_"),"",IF(LEFT(AM31,1)="_",IF(RIGHT(AM31,1)="_",MID(AM31,2,LEN(AM31)-2),RIGHT(AM31,LEN(AM31)-1)),IF(RIGHT(AM31,1)="_",LEFT(AM31,LEN(AM31)-1),AM31)))</f>
        <v/>
      </c>
      <c r="AO31" s="4">
        <f>IF(OR(LOWER(TRIM(C31))="",LOWER(TRIM(C31))="nan",LOWER(TRIM(C31))="none",LOWER(TRIM(C31)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31)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31" s="4">
        <f>IF(AO31="","",SUBSTITUTE(SUBSTITUTE(SUBSTITUTE(SUBSTITUTE(SUBSTITUTE(SUBSTITUTE(SUBSTITUTE(SUBSTITUTE(AO31,"__","_"),"__","_"),"__","_"),"__","_"),"__","_"),"__","_"),"__","_"),"__","_"))</f>
        <v/>
      </c>
      <c r="AQ31" s="4">
        <f>IF(OR(AP31="",AP31="_"),"",IF(LEFT(AP31,1)="_",IF(RIGHT(AP31,1)="_",MID(AP31,2,LEN(AP31)-2),RIGHT(AP31,LEN(AP31)-1)),IF(RIGHT(AP31,1)="_",LEFT(AP31,LEN(AP31)-1),AP31)))</f>
        <v/>
      </c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>
        <f>IF(AK32&lt;&gt;"",AK32,"")&amp;IF(AN32&lt;&gt;"",IF(AK32&lt;&gt;"","_"&amp;AN32,AN32),"")&amp;IF(AQ32&lt;&gt;"",IF(AK32&lt;&gt;"","_"&amp;AQ32,AQ32),"")</f>
        <v/>
      </c>
      <c r="I32" s="4">
        <f>IF(TRIM(G32)&lt;&gt;"",TRIM(G32),H32)</f>
        <v/>
      </c>
      <c r="J32" s="4">
        <f>IF(OR(A32="",B32="",C32="",D32=""),"Missing required field — fill in product, metric_key, segment, and metric before this row can be used.",IF(H32="","Missing required field — product, metric_key, and segment must combine into an ID.",IF(COUNTIF($I$8:$I$32,I32)&gt;1,"Duplicate outcome ID — two rows currently build the same outcome_id; add a distinguishing detail.",IF(AND(F32&lt;&gt;"",F32&lt;&gt;I32),"Existing outcome_id differs from the built ID — review before using.","Ready"))))</f>
        <v/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n"/>
      <c r="AH32" s="4" t="n"/>
      <c r="AI32" s="4">
        <f>IF(OR(LOWER(TRIM(A32))="",LOWER(TRIM(A32))="nan",LOWER(TRIM(A32))="none",LOWER(TRIM(A32)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32)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J32" s="4">
        <f>IF(AI32="","",SUBSTITUTE(SUBSTITUTE(SUBSTITUTE(SUBSTITUTE(SUBSTITUTE(SUBSTITUTE(SUBSTITUTE(SUBSTITUTE(AI32,"__","_"),"__","_"),"__","_"),"__","_"),"__","_"),"__","_"),"__","_"),"__","_"))</f>
        <v/>
      </c>
      <c r="AK32" s="4">
        <f>IF(OR(AJ32="",AJ32="_"),"",IF(LEFT(AJ32,1)="_",IF(RIGHT(AJ32,1)="_",MID(AJ32,2,LEN(AJ32)-2),RIGHT(AJ32,LEN(AJ32)-1)),IF(RIGHT(AJ32,1)="_",LEFT(AJ32,LEN(AJ32)-1),AJ32)))</f>
        <v/>
      </c>
      <c r="AL32" s="4">
        <f>IF(OR(LOWER(TRIM(B32))="",LOWER(TRIM(B32))="nan",LOWER(TRIM(B32))="none",LOWER(TRIM(B32)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32)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M32" s="4">
        <f>IF(AL32="","",SUBSTITUTE(SUBSTITUTE(SUBSTITUTE(SUBSTITUTE(SUBSTITUTE(SUBSTITUTE(SUBSTITUTE(SUBSTITUTE(AL32,"__","_"),"__","_"),"__","_"),"__","_"),"__","_"),"__","_"),"__","_"),"__","_"))</f>
        <v/>
      </c>
      <c r="AN32" s="4">
        <f>IF(OR(AM32="",AM32="_"),"",IF(LEFT(AM32,1)="_",IF(RIGHT(AM32,1)="_",MID(AM32,2,LEN(AM32)-2),RIGHT(AM32,LEN(AM32)-1)),IF(RIGHT(AM32,1)="_",LEFT(AM32,LEN(AM32)-1),AM32)))</f>
        <v/>
      </c>
      <c r="AO32" s="4">
        <f>IF(OR(LOWER(TRIM(C32))="",LOWER(TRIM(C32))="nan",LOWER(TRIM(C32))="none",LOWER(TRIM(C32)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32)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AP32" s="4">
        <f>IF(AO32="","",SUBSTITUTE(SUBSTITUTE(SUBSTITUTE(SUBSTITUTE(SUBSTITUTE(SUBSTITUTE(SUBSTITUTE(SUBSTITUTE(AO32,"__","_"),"__","_"),"__","_"),"__","_"),"__","_"),"__","_"),"__","_"),"__","_"))</f>
        <v/>
      </c>
      <c r="AQ32" s="4">
        <f>IF(OR(AP32="",AP32="_"),"",IF(LEFT(AP32,1)="_",IF(RIGHT(AP32,1)="_",MID(AP32,2,LEN(AP32)-2),RIGHT(AP32,LEN(AP32)-1)),IF(RIGHT(AP32,1)="_",LEFT(AP32,LEN(AP32)-1),AP32)))</f>
        <v/>
      </c>
    </row>
  </sheetData>
  <conditionalFormatting sqref="J8:J32">
    <cfRule type="expression" priority="1" dxfId="0">
      <formula>ISNUMBER(SEARCH("Missing",J8))</formula>
    </cfRule>
    <cfRule type="expression" priority="2" dxfId="1">
      <formula>OR(ISNUMBER(SEARCH("Duplicate",J8)),ISNUMBER(SEARCH("differs",J8)))</formula>
    </cfRule>
    <cfRule type="expression" priority="3" dxfId="2">
      <formula>J8="Ready"</formula>
    </cfRule>
  </conditionalFormatting>
  <dataValidations count="10">
    <dataValidation sqref="A8:A32" showDropDown="0" showInputMessage="0" showErrorMessage="0" allowBlank="1" errorTitle="Product" error="Choose a value from the approved list or leave it blank when the field is optional." promptTitle="Product" prompt="Select an approved value." type="list">
      <formula1>"Family History,DNA"</formula1>
    </dataValidation>
    <dataValidation sqref="B8:B32" showDropDown="0" showInputMessage="0" showErrorMessage="0" allowBlank="1" errorTitle="Metric key" error="Choose a value from the approved list or leave it blank when the field is optional." promptTitle="Metric key" prompt="Select an approved value." type="list">
      <formula1>"fh_gsa,fh_signup,dna_kit_sale,fh_net_billthrough_count,fh_net_billthrough_rate,fh_gsa_finance_date,dna_kit_sale_self_activated,dna_kit_sale_gifted_activated,dna_kit_sale_unactivated,dna_kit_sale_total,custom"</formula1>
    </dataValidation>
    <dataValidation sqref="K8:K32" showDropDown="0" showInputMessage="0" showErrorMessage="0" allowBlank="1" errorTitle="Segment dimension" error="Choose a value from the approved list or leave it blank when the field is optional." promptTitle="Segment dimension" prompt="Select an approved value." type="list">
      <formula1>"fh_customer_segment,dna_customer_relationship,dna_purchase_recipient,dna_activation_status,combined,custom,unspecified"</formula1>
    </dataValidation>
    <dataValidation sqref="O8:O32" showDropDown="0" showInputMessage="0" showErrorMessage="0" allowBlank="1" errorTitle="Group aggregation" error="Choose a value from the approved list or leave it blank when the field is optional." promptTitle="Group aggregation" prompt="Select an approved value." type="list">
      <formula1>"sum,none"</formula1>
    </dataValidation>
    <dataValidation sqref="P8:P32" showDropDown="0" showInputMessage="0" showErrorMessage="0" allowBlank="1" errorTitle="Role" error="Choose a value from the approved list or leave it blank when the field is optional." promptTitle="Role" prompt="Select an approved value." type="list">
      <formula1>"primary,secondary,funnel_intermediate,diagnostic"</formula1>
    </dataValidation>
    <dataValidation sqref="Q8:Q32" showDropDown="0" showInputMessage="0" showErrorMessage="0" allowBlank="1" errorTitle="included_in_fit" error="Choose a value from the approved list or leave it blank when the field is optional." promptTitle="included_in_fit" prompt="Select an approved value." type="list">
      <formula1>"TRUE,FALSE"</formula1>
    </dataValidation>
    <dataValidation sqref="R8:R32" showDropDown="0" showInputMessage="0" showErrorMessage="0" allowBlank="1" errorTitle="include_in_default_reporting" error="Choose a value from the approved list or leave it blank when the field is optional." promptTitle="include_in_default_reporting" prompt="Select an approved value." type="list">
      <formula1>"TRUE,FALSE"</formula1>
    </dataValidation>
    <dataValidation sqref="S8:S32" showDropDown="0" showInputMessage="0" showErrorMessage="0" allowBlank="1" errorTitle="include_in_official_total" error="Choose a value from the approved list or leave it blank when the field is optional." promptTitle="include_in_official_total" prompt="Select an approved value." type="list">
      <formula1>"TRUE,FALSE"</formula1>
    </dataValidation>
    <dataValidation sqref="T8:T32" showDropDown="0" showInputMessage="0" showErrorMessage="0" allowBlank="1" errorTitle="include_in_value" error="Choose a value from the approved list or leave it blank when the field is optional." promptTitle="include_in_value" prompt="Select an approved value." type="list">
      <formula1>"TRUE,FALSE"</formula1>
    </dataValidation>
    <dataValidation sqref="U8:U32" showDropDown="0" showInputMessage="0" showErrorMessage="0" allowBlank="1" errorTitle="include_in_optimisation" error="Choose a value from the approved list or leave it blank when the field is optional." promptTitle="include_in_optimisation" prompt="Select an approved value." type="list">
      <formula1>"TRUE,FALSE"</formula1>
    </dataValidation>
  </dataValidation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5" t="inlineStr">
        <is>
          <t>outcome_id</t>
        </is>
      </c>
      <c r="B1" s="5" t="inlineStr">
        <is>
          <t>source_column</t>
        </is>
      </c>
      <c r="C1" s="5" t="inlineStr">
        <is>
          <t>product</t>
        </is>
      </c>
      <c r="D1" s="5" t="inlineStr">
        <is>
          <t>metric_key</t>
        </is>
      </c>
      <c r="E1" s="5" t="inlineStr">
        <is>
          <t>metric</t>
        </is>
      </c>
      <c r="F1" s="5" t="inlineStr">
        <is>
          <t>segment_dimension</t>
        </is>
      </c>
      <c r="G1" s="5" t="inlineStr">
        <is>
          <t>segment</t>
        </is>
      </c>
      <c r="H1" s="5" t="inlineStr">
        <is>
          <t>outcome_group_id</t>
        </is>
      </c>
      <c r="I1" s="5" t="inlineStr">
        <is>
          <t>outcome_group_label</t>
        </is>
      </c>
      <c r="J1" s="5" t="inlineStr">
        <is>
          <t>outcome_family_key</t>
        </is>
      </c>
      <c r="K1" s="5" t="inlineStr">
        <is>
          <t>group_aggregation</t>
        </is>
      </c>
      <c r="L1" s="5" t="inlineStr">
        <is>
          <t>unit</t>
        </is>
      </c>
      <c r="M1" s="5" t="inlineStr">
        <is>
          <t>aggregation_type</t>
        </is>
      </c>
      <c r="N1" s="5" t="inlineStr">
        <is>
          <t>role</t>
        </is>
      </c>
      <c r="O1" s="5" t="inlineStr">
        <is>
          <t>included_in_fit</t>
        </is>
      </c>
      <c r="P1" s="5" t="inlineStr">
        <is>
          <t>include_in_default_reporting</t>
        </is>
      </c>
      <c r="Q1" s="5" t="inlineStr">
        <is>
          <t>include_in_official_total</t>
        </is>
      </c>
      <c r="R1" s="5" t="inlineStr">
        <is>
          <t>include_in_value</t>
        </is>
      </c>
      <c r="S1" s="5" t="inlineStr">
        <is>
          <t>include_in_optimisation</t>
        </is>
      </c>
      <c r="T1" s="5" t="inlineStr">
        <is>
          <t>definition_version</t>
        </is>
      </c>
      <c r="U1" s="5" t="inlineStr">
        <is>
          <t>event_definition</t>
        </is>
      </c>
      <c r="V1" s="5" t="inlineStr">
        <is>
          <t>cohort_or_attribution_basis</t>
        </is>
      </c>
      <c r="W1" s="5" t="inlineStr">
        <is>
          <t>completeness_or_maturity_policy</t>
        </is>
      </c>
      <c r="X1" s="5" t="inlineStr">
        <is>
          <t>exclusions</t>
        </is>
      </c>
      <c r="Y1" s="5" t="inlineStr">
        <is>
          <t>reconciliation_source</t>
        </is>
      </c>
      <c r="Z1" s="5" t="inlineStr">
        <is>
          <t>business_owner</t>
        </is>
      </c>
      <c r="AA1" s="5" t="inlineStr">
        <is>
          <t>effective_from</t>
        </is>
      </c>
      <c r="AB1" s="5" t="inlineStr">
        <is>
          <t>effective_to</t>
        </is>
      </c>
      <c r="AC1" s="5" t="inlineStr">
        <is>
          <t>value_weight</t>
        </is>
      </c>
      <c r="AD1" s="5" t="inlineStr">
        <is>
          <t>value_currency</t>
        </is>
      </c>
    </row>
    <row r="2">
      <c r="A2">
        <f>'BUILDER'!I8</f>
        <v/>
      </c>
      <c r="B2">
        <f>IF(TRIM('BUILDER'!E8)&lt;&gt;"",'BUILDER'!E8,'BUILDER'!I8)</f>
        <v/>
      </c>
      <c r="C2">
        <f>'BUILDER'!A8</f>
        <v/>
      </c>
      <c r="D2">
        <f>'BUILDER'!B8</f>
        <v/>
      </c>
      <c r="E2">
        <f>'BUILDER'!D8</f>
        <v/>
      </c>
      <c r="F2">
        <f>IF(TRIM('BUILDER'!K8)&lt;&gt;"",'BUILDER'!K8,"unspecified")</f>
        <v/>
      </c>
      <c r="G2">
        <f>'BUILDER'!C8</f>
        <v/>
      </c>
      <c r="H2">
        <f>'BUILDER'!L8</f>
        <v/>
      </c>
      <c r="I2">
        <f>'BUILDER'!M8</f>
        <v/>
      </c>
      <c r="J2">
        <f>'BUILDER'!N8</f>
        <v/>
      </c>
      <c r="K2">
        <f>'BUILDER'!O8</f>
        <v/>
      </c>
      <c r="L2" t="inlineStr"/>
      <c r="M2" t="inlineStr"/>
      <c r="N2">
        <f>'BUILDER'!P8</f>
        <v/>
      </c>
      <c r="O2">
        <f>'BUILDER'!Q8</f>
        <v/>
      </c>
      <c r="P2">
        <f>'BUILDER'!R8</f>
        <v/>
      </c>
      <c r="Q2">
        <f>'BUILDER'!S8</f>
        <v/>
      </c>
      <c r="R2">
        <f>'BUILDER'!T8</f>
        <v/>
      </c>
      <c r="S2">
        <f>'BUILDER'!U8</f>
        <v/>
      </c>
      <c r="T2">
        <f>'BUILDER'!X8</f>
        <v/>
      </c>
      <c r="U2">
        <f>'BUILDER'!Y8</f>
        <v/>
      </c>
      <c r="V2">
        <f>'BUILDER'!Z8</f>
        <v/>
      </c>
      <c r="W2">
        <f>'BUILDER'!AA8</f>
        <v/>
      </c>
      <c r="X2">
        <f>'BUILDER'!AB8</f>
        <v/>
      </c>
      <c r="Y2">
        <f>'BUILDER'!AC8</f>
        <v/>
      </c>
      <c r="Z2">
        <f>'BUILDER'!AD8</f>
        <v/>
      </c>
      <c r="AA2">
        <f>'BUILDER'!AE8</f>
        <v/>
      </c>
      <c r="AB2">
        <f>'BUILDER'!AF8</f>
        <v/>
      </c>
      <c r="AC2">
        <f>'BUILDER'!V8</f>
        <v/>
      </c>
      <c r="AD2">
        <f>'BUILDER'!W8</f>
        <v/>
      </c>
    </row>
    <row r="3">
      <c r="A3">
        <f>'BUILDER'!I9</f>
        <v/>
      </c>
      <c r="B3">
        <f>IF(TRIM('BUILDER'!E9)&lt;&gt;"",'BUILDER'!E9,'BUILDER'!I9)</f>
        <v/>
      </c>
      <c r="C3">
        <f>'BUILDER'!A9</f>
        <v/>
      </c>
      <c r="D3">
        <f>'BUILDER'!B9</f>
        <v/>
      </c>
      <c r="E3">
        <f>'BUILDER'!D9</f>
        <v/>
      </c>
      <c r="F3">
        <f>IF(TRIM('BUILDER'!K9)&lt;&gt;"",'BUILDER'!K9,"unspecified")</f>
        <v/>
      </c>
      <c r="G3">
        <f>'BUILDER'!C9</f>
        <v/>
      </c>
      <c r="H3">
        <f>'BUILDER'!L9</f>
        <v/>
      </c>
      <c r="I3">
        <f>'BUILDER'!M9</f>
        <v/>
      </c>
      <c r="J3">
        <f>'BUILDER'!N9</f>
        <v/>
      </c>
      <c r="K3">
        <f>'BUILDER'!O9</f>
        <v/>
      </c>
      <c r="L3" t="inlineStr"/>
      <c r="M3" t="inlineStr"/>
      <c r="N3">
        <f>'BUILDER'!P9</f>
        <v/>
      </c>
      <c r="O3">
        <f>'BUILDER'!Q9</f>
        <v/>
      </c>
      <c r="P3">
        <f>'BUILDER'!R9</f>
        <v/>
      </c>
      <c r="Q3">
        <f>'BUILDER'!S9</f>
        <v/>
      </c>
      <c r="R3">
        <f>'BUILDER'!T9</f>
        <v/>
      </c>
      <c r="S3">
        <f>'BUILDER'!U9</f>
        <v/>
      </c>
      <c r="T3">
        <f>'BUILDER'!X9</f>
        <v/>
      </c>
      <c r="U3">
        <f>'BUILDER'!Y9</f>
        <v/>
      </c>
      <c r="V3">
        <f>'BUILDER'!Z9</f>
        <v/>
      </c>
      <c r="W3">
        <f>'BUILDER'!AA9</f>
        <v/>
      </c>
      <c r="X3">
        <f>'BUILDER'!AB9</f>
        <v/>
      </c>
      <c r="Y3">
        <f>'BUILDER'!AC9</f>
        <v/>
      </c>
      <c r="Z3">
        <f>'BUILDER'!AD9</f>
        <v/>
      </c>
      <c r="AA3">
        <f>'BUILDER'!AE9</f>
        <v/>
      </c>
      <c r="AB3">
        <f>'BUILDER'!AF9</f>
        <v/>
      </c>
      <c r="AC3">
        <f>'BUILDER'!V9</f>
        <v/>
      </c>
      <c r="AD3">
        <f>'BUILDER'!W9</f>
        <v/>
      </c>
    </row>
    <row r="4">
      <c r="A4">
        <f>'BUILDER'!I10</f>
        <v/>
      </c>
      <c r="B4">
        <f>IF(TRIM('BUILDER'!E10)&lt;&gt;"",'BUILDER'!E10,'BUILDER'!I10)</f>
        <v/>
      </c>
      <c r="C4">
        <f>'BUILDER'!A10</f>
        <v/>
      </c>
      <c r="D4">
        <f>'BUILDER'!B10</f>
        <v/>
      </c>
      <c r="E4">
        <f>'BUILDER'!D10</f>
        <v/>
      </c>
      <c r="F4">
        <f>IF(TRIM('BUILDER'!K10)&lt;&gt;"",'BUILDER'!K10,"unspecified")</f>
        <v/>
      </c>
      <c r="G4">
        <f>'BUILDER'!C10</f>
        <v/>
      </c>
      <c r="H4">
        <f>'BUILDER'!L10</f>
        <v/>
      </c>
      <c r="I4">
        <f>'BUILDER'!M10</f>
        <v/>
      </c>
      <c r="J4">
        <f>'BUILDER'!N10</f>
        <v/>
      </c>
      <c r="K4">
        <f>'BUILDER'!O10</f>
        <v/>
      </c>
      <c r="L4" t="inlineStr"/>
      <c r="M4" t="inlineStr"/>
      <c r="N4">
        <f>'BUILDER'!P10</f>
        <v/>
      </c>
      <c r="O4">
        <f>'BUILDER'!Q10</f>
        <v/>
      </c>
      <c r="P4">
        <f>'BUILDER'!R10</f>
        <v/>
      </c>
      <c r="Q4">
        <f>'BUILDER'!S10</f>
        <v/>
      </c>
      <c r="R4">
        <f>'BUILDER'!T10</f>
        <v/>
      </c>
      <c r="S4">
        <f>'BUILDER'!U10</f>
        <v/>
      </c>
      <c r="T4">
        <f>'BUILDER'!X10</f>
        <v/>
      </c>
      <c r="U4">
        <f>'BUILDER'!Y10</f>
        <v/>
      </c>
      <c r="V4">
        <f>'BUILDER'!Z10</f>
        <v/>
      </c>
      <c r="W4">
        <f>'BUILDER'!AA10</f>
        <v/>
      </c>
      <c r="X4">
        <f>'BUILDER'!AB10</f>
        <v/>
      </c>
      <c r="Y4">
        <f>'BUILDER'!AC10</f>
        <v/>
      </c>
      <c r="Z4">
        <f>'BUILDER'!AD10</f>
        <v/>
      </c>
      <c r="AA4">
        <f>'BUILDER'!AE10</f>
        <v/>
      </c>
      <c r="AB4">
        <f>'BUILDER'!AF10</f>
        <v/>
      </c>
      <c r="AC4">
        <f>'BUILDER'!V10</f>
        <v/>
      </c>
      <c r="AD4">
        <f>'BUILDER'!W10</f>
        <v/>
      </c>
    </row>
    <row r="5">
      <c r="A5">
        <f>'BUILDER'!I11</f>
        <v/>
      </c>
      <c r="B5">
        <f>IF(TRIM('BUILDER'!E11)&lt;&gt;"",'BUILDER'!E11,'BUILDER'!I11)</f>
        <v/>
      </c>
      <c r="C5">
        <f>'BUILDER'!A11</f>
        <v/>
      </c>
      <c r="D5">
        <f>'BUILDER'!B11</f>
        <v/>
      </c>
      <c r="E5">
        <f>'BUILDER'!D11</f>
        <v/>
      </c>
      <c r="F5">
        <f>IF(TRIM('BUILDER'!K11)&lt;&gt;"",'BUILDER'!K11,"unspecified")</f>
        <v/>
      </c>
      <c r="G5">
        <f>'BUILDER'!C11</f>
        <v/>
      </c>
      <c r="H5">
        <f>'BUILDER'!L11</f>
        <v/>
      </c>
      <c r="I5">
        <f>'BUILDER'!M11</f>
        <v/>
      </c>
      <c r="J5">
        <f>'BUILDER'!N11</f>
        <v/>
      </c>
      <c r="K5">
        <f>'BUILDER'!O11</f>
        <v/>
      </c>
      <c r="L5" t="inlineStr"/>
      <c r="M5" t="inlineStr"/>
      <c r="N5">
        <f>'BUILDER'!P11</f>
        <v/>
      </c>
      <c r="O5">
        <f>'BUILDER'!Q11</f>
        <v/>
      </c>
      <c r="P5">
        <f>'BUILDER'!R11</f>
        <v/>
      </c>
      <c r="Q5">
        <f>'BUILDER'!S11</f>
        <v/>
      </c>
      <c r="R5">
        <f>'BUILDER'!T11</f>
        <v/>
      </c>
      <c r="S5">
        <f>'BUILDER'!U11</f>
        <v/>
      </c>
      <c r="T5">
        <f>'BUILDER'!X11</f>
        <v/>
      </c>
      <c r="U5">
        <f>'BUILDER'!Y11</f>
        <v/>
      </c>
      <c r="V5">
        <f>'BUILDER'!Z11</f>
        <v/>
      </c>
      <c r="W5">
        <f>'BUILDER'!AA11</f>
        <v/>
      </c>
      <c r="X5">
        <f>'BUILDER'!AB11</f>
        <v/>
      </c>
      <c r="Y5">
        <f>'BUILDER'!AC11</f>
        <v/>
      </c>
      <c r="Z5">
        <f>'BUILDER'!AD11</f>
        <v/>
      </c>
      <c r="AA5">
        <f>'BUILDER'!AE11</f>
        <v/>
      </c>
      <c r="AB5">
        <f>'BUILDER'!AF11</f>
        <v/>
      </c>
      <c r="AC5">
        <f>'BUILDER'!V11</f>
        <v/>
      </c>
      <c r="AD5">
        <f>'BUILDER'!W11</f>
        <v/>
      </c>
    </row>
    <row r="6">
      <c r="A6">
        <f>'BUILDER'!I12</f>
        <v/>
      </c>
      <c r="B6">
        <f>IF(TRIM('BUILDER'!E12)&lt;&gt;"",'BUILDER'!E12,'BUILDER'!I12)</f>
        <v/>
      </c>
      <c r="C6">
        <f>'BUILDER'!A12</f>
        <v/>
      </c>
      <c r="D6">
        <f>'BUILDER'!B12</f>
        <v/>
      </c>
      <c r="E6">
        <f>'BUILDER'!D12</f>
        <v/>
      </c>
      <c r="F6">
        <f>IF(TRIM('BUILDER'!K12)&lt;&gt;"",'BUILDER'!K12,"unspecified")</f>
        <v/>
      </c>
      <c r="G6">
        <f>'BUILDER'!C12</f>
        <v/>
      </c>
      <c r="H6">
        <f>'BUILDER'!L12</f>
        <v/>
      </c>
      <c r="I6">
        <f>'BUILDER'!M12</f>
        <v/>
      </c>
      <c r="J6">
        <f>'BUILDER'!N12</f>
        <v/>
      </c>
      <c r="K6">
        <f>'BUILDER'!O12</f>
        <v/>
      </c>
      <c r="L6" t="inlineStr"/>
      <c r="M6" t="inlineStr"/>
      <c r="N6">
        <f>'BUILDER'!P12</f>
        <v/>
      </c>
      <c r="O6">
        <f>'BUILDER'!Q12</f>
        <v/>
      </c>
      <c r="P6">
        <f>'BUILDER'!R12</f>
        <v/>
      </c>
      <c r="Q6">
        <f>'BUILDER'!S12</f>
        <v/>
      </c>
      <c r="R6">
        <f>'BUILDER'!T12</f>
        <v/>
      </c>
      <c r="S6">
        <f>'BUILDER'!U12</f>
        <v/>
      </c>
      <c r="T6">
        <f>'BUILDER'!X12</f>
        <v/>
      </c>
      <c r="U6">
        <f>'BUILDER'!Y12</f>
        <v/>
      </c>
      <c r="V6">
        <f>'BUILDER'!Z12</f>
        <v/>
      </c>
      <c r="W6">
        <f>'BUILDER'!AA12</f>
        <v/>
      </c>
      <c r="X6">
        <f>'BUILDER'!AB12</f>
        <v/>
      </c>
      <c r="Y6">
        <f>'BUILDER'!AC12</f>
        <v/>
      </c>
      <c r="Z6">
        <f>'BUILDER'!AD12</f>
        <v/>
      </c>
      <c r="AA6">
        <f>'BUILDER'!AE12</f>
        <v/>
      </c>
      <c r="AB6">
        <f>'BUILDER'!AF12</f>
        <v/>
      </c>
      <c r="AC6">
        <f>'BUILDER'!V12</f>
        <v/>
      </c>
      <c r="AD6">
        <f>'BUILDER'!W12</f>
        <v/>
      </c>
    </row>
    <row r="7">
      <c r="A7">
        <f>'BUILDER'!I13</f>
        <v/>
      </c>
      <c r="B7">
        <f>IF(TRIM('BUILDER'!E13)&lt;&gt;"",'BUILDER'!E13,'BUILDER'!I13)</f>
        <v/>
      </c>
      <c r="C7">
        <f>'BUILDER'!A13</f>
        <v/>
      </c>
      <c r="D7">
        <f>'BUILDER'!B13</f>
        <v/>
      </c>
      <c r="E7">
        <f>'BUILDER'!D13</f>
        <v/>
      </c>
      <c r="F7">
        <f>IF(TRIM('BUILDER'!K13)&lt;&gt;"",'BUILDER'!K13,"unspecified")</f>
        <v/>
      </c>
      <c r="G7">
        <f>'BUILDER'!C13</f>
        <v/>
      </c>
      <c r="H7">
        <f>'BUILDER'!L13</f>
        <v/>
      </c>
      <c r="I7">
        <f>'BUILDER'!M13</f>
        <v/>
      </c>
      <c r="J7">
        <f>'BUILDER'!N13</f>
        <v/>
      </c>
      <c r="K7">
        <f>'BUILDER'!O13</f>
        <v/>
      </c>
      <c r="L7" t="inlineStr"/>
      <c r="M7" t="inlineStr"/>
      <c r="N7">
        <f>'BUILDER'!P13</f>
        <v/>
      </c>
      <c r="O7">
        <f>'BUILDER'!Q13</f>
        <v/>
      </c>
      <c r="P7">
        <f>'BUILDER'!R13</f>
        <v/>
      </c>
      <c r="Q7">
        <f>'BUILDER'!S13</f>
        <v/>
      </c>
      <c r="R7">
        <f>'BUILDER'!T13</f>
        <v/>
      </c>
      <c r="S7">
        <f>'BUILDER'!U13</f>
        <v/>
      </c>
      <c r="T7">
        <f>'BUILDER'!X13</f>
        <v/>
      </c>
      <c r="U7">
        <f>'BUILDER'!Y13</f>
        <v/>
      </c>
      <c r="V7">
        <f>'BUILDER'!Z13</f>
        <v/>
      </c>
      <c r="W7">
        <f>'BUILDER'!AA13</f>
        <v/>
      </c>
      <c r="X7">
        <f>'BUILDER'!AB13</f>
        <v/>
      </c>
      <c r="Y7">
        <f>'BUILDER'!AC13</f>
        <v/>
      </c>
      <c r="Z7">
        <f>'BUILDER'!AD13</f>
        <v/>
      </c>
      <c r="AA7">
        <f>'BUILDER'!AE13</f>
        <v/>
      </c>
      <c r="AB7">
        <f>'BUILDER'!AF13</f>
        <v/>
      </c>
      <c r="AC7">
        <f>'BUILDER'!V13</f>
        <v/>
      </c>
      <c r="AD7">
        <f>'BUILDER'!W13</f>
        <v/>
      </c>
    </row>
    <row r="8">
      <c r="A8">
        <f>'BUILDER'!I14</f>
        <v/>
      </c>
      <c r="B8">
        <f>IF(TRIM('BUILDER'!E14)&lt;&gt;"",'BUILDER'!E14,'BUILDER'!I14)</f>
        <v/>
      </c>
      <c r="C8">
        <f>'BUILDER'!A14</f>
        <v/>
      </c>
      <c r="D8">
        <f>'BUILDER'!B14</f>
        <v/>
      </c>
      <c r="E8">
        <f>'BUILDER'!D14</f>
        <v/>
      </c>
      <c r="F8">
        <f>IF(TRIM('BUILDER'!K14)&lt;&gt;"",'BUILDER'!K14,"unspecified")</f>
        <v/>
      </c>
      <c r="G8">
        <f>'BUILDER'!C14</f>
        <v/>
      </c>
      <c r="H8">
        <f>'BUILDER'!L14</f>
        <v/>
      </c>
      <c r="I8">
        <f>'BUILDER'!M14</f>
        <v/>
      </c>
      <c r="J8">
        <f>'BUILDER'!N14</f>
        <v/>
      </c>
      <c r="K8">
        <f>'BUILDER'!O14</f>
        <v/>
      </c>
      <c r="L8" t="inlineStr"/>
      <c r="M8" t="inlineStr"/>
      <c r="N8">
        <f>'BUILDER'!P14</f>
        <v/>
      </c>
      <c r="O8">
        <f>'BUILDER'!Q14</f>
        <v/>
      </c>
      <c r="P8">
        <f>'BUILDER'!R14</f>
        <v/>
      </c>
      <c r="Q8">
        <f>'BUILDER'!S14</f>
        <v/>
      </c>
      <c r="R8">
        <f>'BUILDER'!T14</f>
        <v/>
      </c>
      <c r="S8">
        <f>'BUILDER'!U14</f>
        <v/>
      </c>
      <c r="T8">
        <f>'BUILDER'!X14</f>
        <v/>
      </c>
      <c r="U8">
        <f>'BUILDER'!Y14</f>
        <v/>
      </c>
      <c r="V8">
        <f>'BUILDER'!Z14</f>
        <v/>
      </c>
      <c r="W8">
        <f>'BUILDER'!AA14</f>
        <v/>
      </c>
      <c r="X8">
        <f>'BUILDER'!AB14</f>
        <v/>
      </c>
      <c r="Y8">
        <f>'BUILDER'!AC14</f>
        <v/>
      </c>
      <c r="Z8">
        <f>'BUILDER'!AD14</f>
        <v/>
      </c>
      <c r="AA8">
        <f>'BUILDER'!AE14</f>
        <v/>
      </c>
      <c r="AB8">
        <f>'BUILDER'!AF14</f>
        <v/>
      </c>
      <c r="AC8">
        <f>'BUILDER'!V14</f>
        <v/>
      </c>
      <c r="AD8">
        <f>'BUILDER'!W14</f>
        <v/>
      </c>
    </row>
    <row r="9">
      <c r="A9">
        <f>'BUILDER'!I15</f>
        <v/>
      </c>
      <c r="B9">
        <f>IF(TRIM('BUILDER'!E15)&lt;&gt;"",'BUILDER'!E15,'BUILDER'!I15)</f>
        <v/>
      </c>
      <c r="C9">
        <f>'BUILDER'!A15</f>
        <v/>
      </c>
      <c r="D9">
        <f>'BUILDER'!B15</f>
        <v/>
      </c>
      <c r="E9">
        <f>'BUILDER'!D15</f>
        <v/>
      </c>
      <c r="F9">
        <f>IF(TRIM('BUILDER'!K15)&lt;&gt;"",'BUILDER'!K15,"unspecified")</f>
        <v/>
      </c>
      <c r="G9">
        <f>'BUILDER'!C15</f>
        <v/>
      </c>
      <c r="H9">
        <f>'BUILDER'!L15</f>
        <v/>
      </c>
      <c r="I9">
        <f>'BUILDER'!M15</f>
        <v/>
      </c>
      <c r="J9">
        <f>'BUILDER'!N15</f>
        <v/>
      </c>
      <c r="K9">
        <f>'BUILDER'!O15</f>
        <v/>
      </c>
      <c r="L9" t="inlineStr"/>
      <c r="M9" t="inlineStr"/>
      <c r="N9">
        <f>'BUILDER'!P15</f>
        <v/>
      </c>
      <c r="O9">
        <f>'BUILDER'!Q15</f>
        <v/>
      </c>
      <c r="P9">
        <f>'BUILDER'!R15</f>
        <v/>
      </c>
      <c r="Q9">
        <f>'BUILDER'!S15</f>
        <v/>
      </c>
      <c r="R9">
        <f>'BUILDER'!T15</f>
        <v/>
      </c>
      <c r="S9">
        <f>'BUILDER'!U15</f>
        <v/>
      </c>
      <c r="T9">
        <f>'BUILDER'!X15</f>
        <v/>
      </c>
      <c r="U9">
        <f>'BUILDER'!Y15</f>
        <v/>
      </c>
      <c r="V9">
        <f>'BUILDER'!Z15</f>
        <v/>
      </c>
      <c r="W9">
        <f>'BUILDER'!AA15</f>
        <v/>
      </c>
      <c r="X9">
        <f>'BUILDER'!AB15</f>
        <v/>
      </c>
      <c r="Y9">
        <f>'BUILDER'!AC15</f>
        <v/>
      </c>
      <c r="Z9">
        <f>'BUILDER'!AD15</f>
        <v/>
      </c>
      <c r="AA9">
        <f>'BUILDER'!AE15</f>
        <v/>
      </c>
      <c r="AB9">
        <f>'BUILDER'!AF15</f>
        <v/>
      </c>
      <c r="AC9">
        <f>'BUILDER'!V15</f>
        <v/>
      </c>
      <c r="AD9">
        <f>'BUILDER'!W15</f>
        <v/>
      </c>
    </row>
    <row r="10">
      <c r="A10">
        <f>'BUILDER'!I16</f>
        <v/>
      </c>
      <c r="B10">
        <f>IF(TRIM('BUILDER'!E16)&lt;&gt;"",'BUILDER'!E16,'BUILDER'!I16)</f>
        <v/>
      </c>
      <c r="C10">
        <f>'BUILDER'!A16</f>
        <v/>
      </c>
      <c r="D10">
        <f>'BUILDER'!B16</f>
        <v/>
      </c>
      <c r="E10">
        <f>'BUILDER'!D16</f>
        <v/>
      </c>
      <c r="F10">
        <f>IF(TRIM('BUILDER'!K16)&lt;&gt;"",'BUILDER'!K16,"unspecified")</f>
        <v/>
      </c>
      <c r="G10">
        <f>'BUILDER'!C16</f>
        <v/>
      </c>
      <c r="H10">
        <f>'BUILDER'!L16</f>
        <v/>
      </c>
      <c r="I10">
        <f>'BUILDER'!M16</f>
        <v/>
      </c>
      <c r="J10">
        <f>'BUILDER'!N16</f>
        <v/>
      </c>
      <c r="K10">
        <f>'BUILDER'!O16</f>
        <v/>
      </c>
      <c r="L10" t="inlineStr"/>
      <c r="M10" t="inlineStr"/>
      <c r="N10">
        <f>'BUILDER'!P16</f>
        <v/>
      </c>
      <c r="O10">
        <f>'BUILDER'!Q16</f>
        <v/>
      </c>
      <c r="P10">
        <f>'BUILDER'!R16</f>
        <v/>
      </c>
      <c r="Q10">
        <f>'BUILDER'!S16</f>
        <v/>
      </c>
      <c r="R10">
        <f>'BUILDER'!T16</f>
        <v/>
      </c>
      <c r="S10">
        <f>'BUILDER'!U16</f>
        <v/>
      </c>
      <c r="T10">
        <f>'BUILDER'!X16</f>
        <v/>
      </c>
      <c r="U10">
        <f>'BUILDER'!Y16</f>
        <v/>
      </c>
      <c r="V10">
        <f>'BUILDER'!Z16</f>
        <v/>
      </c>
      <c r="W10">
        <f>'BUILDER'!AA16</f>
        <v/>
      </c>
      <c r="X10">
        <f>'BUILDER'!AB16</f>
        <v/>
      </c>
      <c r="Y10">
        <f>'BUILDER'!AC16</f>
        <v/>
      </c>
      <c r="Z10">
        <f>'BUILDER'!AD16</f>
        <v/>
      </c>
      <c r="AA10">
        <f>'BUILDER'!AE16</f>
        <v/>
      </c>
      <c r="AB10">
        <f>'BUILDER'!AF16</f>
        <v/>
      </c>
      <c r="AC10">
        <f>'BUILDER'!V16</f>
        <v/>
      </c>
      <c r="AD10">
        <f>'BUILDER'!W16</f>
        <v/>
      </c>
    </row>
    <row r="11">
      <c r="A11">
        <f>'BUILDER'!I17</f>
        <v/>
      </c>
      <c r="B11">
        <f>IF(TRIM('BUILDER'!E17)&lt;&gt;"",'BUILDER'!E17,'BUILDER'!I17)</f>
        <v/>
      </c>
      <c r="C11">
        <f>'BUILDER'!A17</f>
        <v/>
      </c>
      <c r="D11">
        <f>'BUILDER'!B17</f>
        <v/>
      </c>
      <c r="E11">
        <f>'BUILDER'!D17</f>
        <v/>
      </c>
      <c r="F11">
        <f>IF(TRIM('BUILDER'!K17)&lt;&gt;"",'BUILDER'!K17,"unspecified")</f>
        <v/>
      </c>
      <c r="G11">
        <f>'BUILDER'!C17</f>
        <v/>
      </c>
      <c r="H11">
        <f>'BUILDER'!L17</f>
        <v/>
      </c>
      <c r="I11">
        <f>'BUILDER'!M17</f>
        <v/>
      </c>
      <c r="J11">
        <f>'BUILDER'!N17</f>
        <v/>
      </c>
      <c r="K11">
        <f>'BUILDER'!O17</f>
        <v/>
      </c>
      <c r="L11" t="inlineStr"/>
      <c r="M11" t="inlineStr"/>
      <c r="N11">
        <f>'BUILDER'!P17</f>
        <v/>
      </c>
      <c r="O11">
        <f>'BUILDER'!Q17</f>
        <v/>
      </c>
      <c r="P11">
        <f>'BUILDER'!R17</f>
        <v/>
      </c>
      <c r="Q11">
        <f>'BUILDER'!S17</f>
        <v/>
      </c>
      <c r="R11">
        <f>'BUILDER'!T17</f>
        <v/>
      </c>
      <c r="S11">
        <f>'BUILDER'!U17</f>
        <v/>
      </c>
      <c r="T11">
        <f>'BUILDER'!X17</f>
        <v/>
      </c>
      <c r="U11">
        <f>'BUILDER'!Y17</f>
        <v/>
      </c>
      <c r="V11">
        <f>'BUILDER'!Z17</f>
        <v/>
      </c>
      <c r="W11">
        <f>'BUILDER'!AA17</f>
        <v/>
      </c>
      <c r="X11">
        <f>'BUILDER'!AB17</f>
        <v/>
      </c>
      <c r="Y11">
        <f>'BUILDER'!AC17</f>
        <v/>
      </c>
      <c r="Z11">
        <f>'BUILDER'!AD17</f>
        <v/>
      </c>
      <c r="AA11">
        <f>'BUILDER'!AE17</f>
        <v/>
      </c>
      <c r="AB11">
        <f>'BUILDER'!AF17</f>
        <v/>
      </c>
      <c r="AC11">
        <f>'BUILDER'!V17</f>
        <v/>
      </c>
      <c r="AD11">
        <f>'BUILDER'!W17</f>
        <v/>
      </c>
    </row>
    <row r="12">
      <c r="A12">
        <f>'BUILDER'!I18</f>
        <v/>
      </c>
      <c r="B12">
        <f>IF(TRIM('BUILDER'!E18)&lt;&gt;"",'BUILDER'!E18,'BUILDER'!I18)</f>
        <v/>
      </c>
      <c r="C12">
        <f>'BUILDER'!A18</f>
        <v/>
      </c>
      <c r="D12">
        <f>'BUILDER'!B18</f>
        <v/>
      </c>
      <c r="E12">
        <f>'BUILDER'!D18</f>
        <v/>
      </c>
      <c r="F12">
        <f>IF(TRIM('BUILDER'!K18)&lt;&gt;"",'BUILDER'!K18,"unspecified")</f>
        <v/>
      </c>
      <c r="G12">
        <f>'BUILDER'!C18</f>
        <v/>
      </c>
      <c r="H12">
        <f>'BUILDER'!L18</f>
        <v/>
      </c>
      <c r="I12">
        <f>'BUILDER'!M18</f>
        <v/>
      </c>
      <c r="J12">
        <f>'BUILDER'!N18</f>
        <v/>
      </c>
      <c r="K12">
        <f>'BUILDER'!O18</f>
        <v/>
      </c>
      <c r="L12" t="inlineStr"/>
      <c r="M12" t="inlineStr"/>
      <c r="N12">
        <f>'BUILDER'!P18</f>
        <v/>
      </c>
      <c r="O12">
        <f>'BUILDER'!Q18</f>
        <v/>
      </c>
      <c r="P12">
        <f>'BUILDER'!R18</f>
        <v/>
      </c>
      <c r="Q12">
        <f>'BUILDER'!S18</f>
        <v/>
      </c>
      <c r="R12">
        <f>'BUILDER'!T18</f>
        <v/>
      </c>
      <c r="S12">
        <f>'BUILDER'!U18</f>
        <v/>
      </c>
      <c r="T12">
        <f>'BUILDER'!X18</f>
        <v/>
      </c>
      <c r="U12">
        <f>'BUILDER'!Y18</f>
        <v/>
      </c>
      <c r="V12">
        <f>'BUILDER'!Z18</f>
        <v/>
      </c>
      <c r="W12">
        <f>'BUILDER'!AA18</f>
        <v/>
      </c>
      <c r="X12">
        <f>'BUILDER'!AB18</f>
        <v/>
      </c>
      <c r="Y12">
        <f>'BUILDER'!AC18</f>
        <v/>
      </c>
      <c r="Z12">
        <f>'BUILDER'!AD18</f>
        <v/>
      </c>
      <c r="AA12">
        <f>'BUILDER'!AE18</f>
        <v/>
      </c>
      <c r="AB12">
        <f>'BUILDER'!AF18</f>
        <v/>
      </c>
      <c r="AC12">
        <f>'BUILDER'!V18</f>
        <v/>
      </c>
      <c r="AD12">
        <f>'BUILDER'!W18</f>
        <v/>
      </c>
    </row>
    <row r="13">
      <c r="A13">
        <f>'BUILDER'!I19</f>
        <v/>
      </c>
      <c r="B13">
        <f>IF(TRIM('BUILDER'!E19)&lt;&gt;"",'BUILDER'!E19,'BUILDER'!I19)</f>
        <v/>
      </c>
      <c r="C13">
        <f>'BUILDER'!A19</f>
        <v/>
      </c>
      <c r="D13">
        <f>'BUILDER'!B19</f>
        <v/>
      </c>
      <c r="E13">
        <f>'BUILDER'!D19</f>
        <v/>
      </c>
      <c r="F13">
        <f>IF(TRIM('BUILDER'!K19)&lt;&gt;"",'BUILDER'!K19,"unspecified")</f>
        <v/>
      </c>
      <c r="G13">
        <f>'BUILDER'!C19</f>
        <v/>
      </c>
      <c r="H13">
        <f>'BUILDER'!L19</f>
        <v/>
      </c>
      <c r="I13">
        <f>'BUILDER'!M19</f>
        <v/>
      </c>
      <c r="J13">
        <f>'BUILDER'!N19</f>
        <v/>
      </c>
      <c r="K13">
        <f>'BUILDER'!O19</f>
        <v/>
      </c>
      <c r="L13" t="inlineStr"/>
      <c r="M13" t="inlineStr"/>
      <c r="N13">
        <f>'BUILDER'!P19</f>
        <v/>
      </c>
      <c r="O13">
        <f>'BUILDER'!Q19</f>
        <v/>
      </c>
      <c r="P13">
        <f>'BUILDER'!R19</f>
        <v/>
      </c>
      <c r="Q13">
        <f>'BUILDER'!S19</f>
        <v/>
      </c>
      <c r="R13">
        <f>'BUILDER'!T19</f>
        <v/>
      </c>
      <c r="S13">
        <f>'BUILDER'!U19</f>
        <v/>
      </c>
      <c r="T13">
        <f>'BUILDER'!X19</f>
        <v/>
      </c>
      <c r="U13">
        <f>'BUILDER'!Y19</f>
        <v/>
      </c>
      <c r="V13">
        <f>'BUILDER'!Z19</f>
        <v/>
      </c>
      <c r="W13">
        <f>'BUILDER'!AA19</f>
        <v/>
      </c>
      <c r="X13">
        <f>'BUILDER'!AB19</f>
        <v/>
      </c>
      <c r="Y13">
        <f>'BUILDER'!AC19</f>
        <v/>
      </c>
      <c r="Z13">
        <f>'BUILDER'!AD19</f>
        <v/>
      </c>
      <c r="AA13">
        <f>'BUILDER'!AE19</f>
        <v/>
      </c>
      <c r="AB13">
        <f>'BUILDER'!AF19</f>
        <v/>
      </c>
      <c r="AC13">
        <f>'BUILDER'!V19</f>
        <v/>
      </c>
      <c r="AD13">
        <f>'BUILDER'!W19</f>
        <v/>
      </c>
    </row>
    <row r="14">
      <c r="A14">
        <f>'BUILDER'!I20</f>
        <v/>
      </c>
      <c r="B14">
        <f>IF(TRIM('BUILDER'!E20)&lt;&gt;"",'BUILDER'!E20,'BUILDER'!I20)</f>
        <v/>
      </c>
      <c r="C14">
        <f>'BUILDER'!A20</f>
        <v/>
      </c>
      <c r="D14">
        <f>'BUILDER'!B20</f>
        <v/>
      </c>
      <c r="E14">
        <f>'BUILDER'!D20</f>
        <v/>
      </c>
      <c r="F14">
        <f>IF(TRIM('BUILDER'!K20)&lt;&gt;"",'BUILDER'!K20,"unspecified")</f>
        <v/>
      </c>
      <c r="G14">
        <f>'BUILDER'!C20</f>
        <v/>
      </c>
      <c r="H14">
        <f>'BUILDER'!L20</f>
        <v/>
      </c>
      <c r="I14">
        <f>'BUILDER'!M20</f>
        <v/>
      </c>
      <c r="J14">
        <f>'BUILDER'!N20</f>
        <v/>
      </c>
      <c r="K14">
        <f>'BUILDER'!O20</f>
        <v/>
      </c>
      <c r="L14" t="inlineStr"/>
      <c r="M14" t="inlineStr"/>
      <c r="N14">
        <f>'BUILDER'!P20</f>
        <v/>
      </c>
      <c r="O14">
        <f>'BUILDER'!Q20</f>
        <v/>
      </c>
      <c r="P14">
        <f>'BUILDER'!R20</f>
        <v/>
      </c>
      <c r="Q14">
        <f>'BUILDER'!S20</f>
        <v/>
      </c>
      <c r="R14">
        <f>'BUILDER'!T20</f>
        <v/>
      </c>
      <c r="S14">
        <f>'BUILDER'!U20</f>
        <v/>
      </c>
      <c r="T14">
        <f>'BUILDER'!X20</f>
        <v/>
      </c>
      <c r="U14">
        <f>'BUILDER'!Y20</f>
        <v/>
      </c>
      <c r="V14">
        <f>'BUILDER'!Z20</f>
        <v/>
      </c>
      <c r="W14">
        <f>'BUILDER'!AA20</f>
        <v/>
      </c>
      <c r="X14">
        <f>'BUILDER'!AB20</f>
        <v/>
      </c>
      <c r="Y14">
        <f>'BUILDER'!AC20</f>
        <v/>
      </c>
      <c r="Z14">
        <f>'BUILDER'!AD20</f>
        <v/>
      </c>
      <c r="AA14">
        <f>'BUILDER'!AE20</f>
        <v/>
      </c>
      <c r="AB14">
        <f>'BUILDER'!AF20</f>
        <v/>
      </c>
      <c r="AC14">
        <f>'BUILDER'!V20</f>
        <v/>
      </c>
      <c r="AD14">
        <f>'BUILDER'!W20</f>
        <v/>
      </c>
    </row>
    <row r="15">
      <c r="A15">
        <f>'BUILDER'!I21</f>
        <v/>
      </c>
      <c r="B15">
        <f>IF(TRIM('BUILDER'!E21)&lt;&gt;"",'BUILDER'!E21,'BUILDER'!I21)</f>
        <v/>
      </c>
      <c r="C15">
        <f>'BUILDER'!A21</f>
        <v/>
      </c>
      <c r="D15">
        <f>'BUILDER'!B21</f>
        <v/>
      </c>
      <c r="E15">
        <f>'BUILDER'!D21</f>
        <v/>
      </c>
      <c r="F15">
        <f>IF(TRIM('BUILDER'!K21)&lt;&gt;"",'BUILDER'!K21,"unspecified")</f>
        <v/>
      </c>
      <c r="G15">
        <f>'BUILDER'!C21</f>
        <v/>
      </c>
      <c r="H15">
        <f>'BUILDER'!L21</f>
        <v/>
      </c>
      <c r="I15">
        <f>'BUILDER'!M21</f>
        <v/>
      </c>
      <c r="J15">
        <f>'BUILDER'!N21</f>
        <v/>
      </c>
      <c r="K15">
        <f>'BUILDER'!O21</f>
        <v/>
      </c>
      <c r="L15" t="inlineStr"/>
      <c r="M15" t="inlineStr"/>
      <c r="N15">
        <f>'BUILDER'!P21</f>
        <v/>
      </c>
      <c r="O15">
        <f>'BUILDER'!Q21</f>
        <v/>
      </c>
      <c r="P15">
        <f>'BUILDER'!R21</f>
        <v/>
      </c>
      <c r="Q15">
        <f>'BUILDER'!S21</f>
        <v/>
      </c>
      <c r="R15">
        <f>'BUILDER'!T21</f>
        <v/>
      </c>
      <c r="S15">
        <f>'BUILDER'!U21</f>
        <v/>
      </c>
      <c r="T15">
        <f>'BUILDER'!X21</f>
        <v/>
      </c>
      <c r="U15">
        <f>'BUILDER'!Y21</f>
        <v/>
      </c>
      <c r="V15">
        <f>'BUILDER'!Z21</f>
        <v/>
      </c>
      <c r="W15">
        <f>'BUILDER'!AA21</f>
        <v/>
      </c>
      <c r="X15">
        <f>'BUILDER'!AB21</f>
        <v/>
      </c>
      <c r="Y15">
        <f>'BUILDER'!AC21</f>
        <v/>
      </c>
      <c r="Z15">
        <f>'BUILDER'!AD21</f>
        <v/>
      </c>
      <c r="AA15">
        <f>'BUILDER'!AE21</f>
        <v/>
      </c>
      <c r="AB15">
        <f>'BUILDER'!AF21</f>
        <v/>
      </c>
      <c r="AC15">
        <f>'BUILDER'!V21</f>
        <v/>
      </c>
      <c r="AD15">
        <f>'BUILDER'!W21</f>
        <v/>
      </c>
    </row>
    <row r="16">
      <c r="A16">
        <f>'BUILDER'!I22</f>
        <v/>
      </c>
      <c r="B16">
        <f>IF(TRIM('BUILDER'!E22)&lt;&gt;"",'BUILDER'!E22,'BUILDER'!I22)</f>
        <v/>
      </c>
      <c r="C16">
        <f>'BUILDER'!A22</f>
        <v/>
      </c>
      <c r="D16">
        <f>'BUILDER'!B22</f>
        <v/>
      </c>
      <c r="E16">
        <f>'BUILDER'!D22</f>
        <v/>
      </c>
      <c r="F16">
        <f>IF(TRIM('BUILDER'!K22)&lt;&gt;"",'BUILDER'!K22,"unspecified")</f>
        <v/>
      </c>
      <c r="G16">
        <f>'BUILDER'!C22</f>
        <v/>
      </c>
      <c r="H16">
        <f>'BUILDER'!L22</f>
        <v/>
      </c>
      <c r="I16">
        <f>'BUILDER'!M22</f>
        <v/>
      </c>
      <c r="J16">
        <f>'BUILDER'!N22</f>
        <v/>
      </c>
      <c r="K16">
        <f>'BUILDER'!O22</f>
        <v/>
      </c>
      <c r="L16" t="inlineStr"/>
      <c r="M16" t="inlineStr"/>
      <c r="N16">
        <f>'BUILDER'!P22</f>
        <v/>
      </c>
      <c r="O16">
        <f>'BUILDER'!Q22</f>
        <v/>
      </c>
      <c r="P16">
        <f>'BUILDER'!R22</f>
        <v/>
      </c>
      <c r="Q16">
        <f>'BUILDER'!S22</f>
        <v/>
      </c>
      <c r="R16">
        <f>'BUILDER'!T22</f>
        <v/>
      </c>
      <c r="S16">
        <f>'BUILDER'!U22</f>
        <v/>
      </c>
      <c r="T16">
        <f>'BUILDER'!X22</f>
        <v/>
      </c>
      <c r="U16">
        <f>'BUILDER'!Y22</f>
        <v/>
      </c>
      <c r="V16">
        <f>'BUILDER'!Z22</f>
        <v/>
      </c>
      <c r="W16">
        <f>'BUILDER'!AA22</f>
        <v/>
      </c>
      <c r="X16">
        <f>'BUILDER'!AB22</f>
        <v/>
      </c>
      <c r="Y16">
        <f>'BUILDER'!AC22</f>
        <v/>
      </c>
      <c r="Z16">
        <f>'BUILDER'!AD22</f>
        <v/>
      </c>
      <c r="AA16">
        <f>'BUILDER'!AE22</f>
        <v/>
      </c>
      <c r="AB16">
        <f>'BUILDER'!AF22</f>
        <v/>
      </c>
      <c r="AC16">
        <f>'BUILDER'!V22</f>
        <v/>
      </c>
      <c r="AD16">
        <f>'BUILDER'!W22</f>
        <v/>
      </c>
    </row>
    <row r="17">
      <c r="A17">
        <f>'BUILDER'!I23</f>
        <v/>
      </c>
      <c r="B17">
        <f>IF(TRIM('BUILDER'!E23)&lt;&gt;"",'BUILDER'!E23,'BUILDER'!I23)</f>
        <v/>
      </c>
      <c r="C17">
        <f>'BUILDER'!A23</f>
        <v/>
      </c>
      <c r="D17">
        <f>'BUILDER'!B23</f>
        <v/>
      </c>
      <c r="E17">
        <f>'BUILDER'!D23</f>
        <v/>
      </c>
      <c r="F17">
        <f>IF(TRIM('BUILDER'!K23)&lt;&gt;"",'BUILDER'!K23,"unspecified")</f>
        <v/>
      </c>
      <c r="G17">
        <f>'BUILDER'!C23</f>
        <v/>
      </c>
      <c r="H17">
        <f>'BUILDER'!L23</f>
        <v/>
      </c>
      <c r="I17">
        <f>'BUILDER'!M23</f>
        <v/>
      </c>
      <c r="J17">
        <f>'BUILDER'!N23</f>
        <v/>
      </c>
      <c r="K17">
        <f>'BUILDER'!O23</f>
        <v/>
      </c>
      <c r="L17" t="inlineStr"/>
      <c r="M17" t="inlineStr"/>
      <c r="N17">
        <f>'BUILDER'!P23</f>
        <v/>
      </c>
      <c r="O17">
        <f>'BUILDER'!Q23</f>
        <v/>
      </c>
      <c r="P17">
        <f>'BUILDER'!R23</f>
        <v/>
      </c>
      <c r="Q17">
        <f>'BUILDER'!S23</f>
        <v/>
      </c>
      <c r="R17">
        <f>'BUILDER'!T23</f>
        <v/>
      </c>
      <c r="S17">
        <f>'BUILDER'!U23</f>
        <v/>
      </c>
      <c r="T17">
        <f>'BUILDER'!X23</f>
        <v/>
      </c>
      <c r="U17">
        <f>'BUILDER'!Y23</f>
        <v/>
      </c>
      <c r="V17">
        <f>'BUILDER'!Z23</f>
        <v/>
      </c>
      <c r="W17">
        <f>'BUILDER'!AA23</f>
        <v/>
      </c>
      <c r="X17">
        <f>'BUILDER'!AB23</f>
        <v/>
      </c>
      <c r="Y17">
        <f>'BUILDER'!AC23</f>
        <v/>
      </c>
      <c r="Z17">
        <f>'BUILDER'!AD23</f>
        <v/>
      </c>
      <c r="AA17">
        <f>'BUILDER'!AE23</f>
        <v/>
      </c>
      <c r="AB17">
        <f>'BUILDER'!AF23</f>
        <v/>
      </c>
      <c r="AC17">
        <f>'BUILDER'!V23</f>
        <v/>
      </c>
      <c r="AD17">
        <f>'BUILDER'!W23</f>
        <v/>
      </c>
    </row>
    <row r="18">
      <c r="A18">
        <f>'BUILDER'!I24</f>
        <v/>
      </c>
      <c r="B18">
        <f>IF(TRIM('BUILDER'!E24)&lt;&gt;"",'BUILDER'!E24,'BUILDER'!I24)</f>
        <v/>
      </c>
      <c r="C18">
        <f>'BUILDER'!A24</f>
        <v/>
      </c>
      <c r="D18">
        <f>'BUILDER'!B24</f>
        <v/>
      </c>
      <c r="E18">
        <f>'BUILDER'!D24</f>
        <v/>
      </c>
      <c r="F18">
        <f>IF(TRIM('BUILDER'!K24)&lt;&gt;"",'BUILDER'!K24,"unspecified")</f>
        <v/>
      </c>
      <c r="G18">
        <f>'BUILDER'!C24</f>
        <v/>
      </c>
      <c r="H18">
        <f>'BUILDER'!L24</f>
        <v/>
      </c>
      <c r="I18">
        <f>'BUILDER'!M24</f>
        <v/>
      </c>
      <c r="J18">
        <f>'BUILDER'!N24</f>
        <v/>
      </c>
      <c r="K18">
        <f>'BUILDER'!O24</f>
        <v/>
      </c>
      <c r="L18" t="inlineStr"/>
      <c r="M18" t="inlineStr"/>
      <c r="N18">
        <f>'BUILDER'!P24</f>
        <v/>
      </c>
      <c r="O18">
        <f>'BUILDER'!Q24</f>
        <v/>
      </c>
      <c r="P18">
        <f>'BUILDER'!R24</f>
        <v/>
      </c>
      <c r="Q18">
        <f>'BUILDER'!S24</f>
        <v/>
      </c>
      <c r="R18">
        <f>'BUILDER'!T24</f>
        <v/>
      </c>
      <c r="S18">
        <f>'BUILDER'!U24</f>
        <v/>
      </c>
      <c r="T18">
        <f>'BUILDER'!X24</f>
        <v/>
      </c>
      <c r="U18">
        <f>'BUILDER'!Y24</f>
        <v/>
      </c>
      <c r="V18">
        <f>'BUILDER'!Z24</f>
        <v/>
      </c>
      <c r="W18">
        <f>'BUILDER'!AA24</f>
        <v/>
      </c>
      <c r="X18">
        <f>'BUILDER'!AB24</f>
        <v/>
      </c>
      <c r="Y18">
        <f>'BUILDER'!AC24</f>
        <v/>
      </c>
      <c r="Z18">
        <f>'BUILDER'!AD24</f>
        <v/>
      </c>
      <c r="AA18">
        <f>'BUILDER'!AE24</f>
        <v/>
      </c>
      <c r="AB18">
        <f>'BUILDER'!AF24</f>
        <v/>
      </c>
      <c r="AC18">
        <f>'BUILDER'!V24</f>
        <v/>
      </c>
      <c r="AD18">
        <f>'BUILDER'!W24</f>
        <v/>
      </c>
    </row>
    <row r="19">
      <c r="A19">
        <f>'BUILDER'!I25</f>
        <v/>
      </c>
      <c r="B19">
        <f>IF(TRIM('BUILDER'!E25)&lt;&gt;"",'BUILDER'!E25,'BUILDER'!I25)</f>
        <v/>
      </c>
      <c r="C19">
        <f>'BUILDER'!A25</f>
        <v/>
      </c>
      <c r="D19">
        <f>'BUILDER'!B25</f>
        <v/>
      </c>
      <c r="E19">
        <f>'BUILDER'!D25</f>
        <v/>
      </c>
      <c r="F19">
        <f>IF(TRIM('BUILDER'!K25)&lt;&gt;"",'BUILDER'!K25,"unspecified")</f>
        <v/>
      </c>
      <c r="G19">
        <f>'BUILDER'!C25</f>
        <v/>
      </c>
      <c r="H19">
        <f>'BUILDER'!L25</f>
        <v/>
      </c>
      <c r="I19">
        <f>'BUILDER'!M25</f>
        <v/>
      </c>
      <c r="J19">
        <f>'BUILDER'!N25</f>
        <v/>
      </c>
      <c r="K19">
        <f>'BUILDER'!O25</f>
        <v/>
      </c>
      <c r="L19" t="inlineStr"/>
      <c r="M19" t="inlineStr"/>
      <c r="N19">
        <f>'BUILDER'!P25</f>
        <v/>
      </c>
      <c r="O19">
        <f>'BUILDER'!Q25</f>
        <v/>
      </c>
      <c r="P19">
        <f>'BUILDER'!R25</f>
        <v/>
      </c>
      <c r="Q19">
        <f>'BUILDER'!S25</f>
        <v/>
      </c>
      <c r="R19">
        <f>'BUILDER'!T25</f>
        <v/>
      </c>
      <c r="S19">
        <f>'BUILDER'!U25</f>
        <v/>
      </c>
      <c r="T19">
        <f>'BUILDER'!X25</f>
        <v/>
      </c>
      <c r="U19">
        <f>'BUILDER'!Y25</f>
        <v/>
      </c>
      <c r="V19">
        <f>'BUILDER'!Z25</f>
        <v/>
      </c>
      <c r="W19">
        <f>'BUILDER'!AA25</f>
        <v/>
      </c>
      <c r="X19">
        <f>'BUILDER'!AB25</f>
        <v/>
      </c>
      <c r="Y19">
        <f>'BUILDER'!AC25</f>
        <v/>
      </c>
      <c r="Z19">
        <f>'BUILDER'!AD25</f>
        <v/>
      </c>
      <c r="AA19">
        <f>'BUILDER'!AE25</f>
        <v/>
      </c>
      <c r="AB19">
        <f>'BUILDER'!AF25</f>
        <v/>
      </c>
      <c r="AC19">
        <f>'BUILDER'!V25</f>
        <v/>
      </c>
      <c r="AD19">
        <f>'BUILDER'!W25</f>
        <v/>
      </c>
    </row>
    <row r="20">
      <c r="A20">
        <f>'BUILDER'!I26</f>
        <v/>
      </c>
      <c r="B20">
        <f>IF(TRIM('BUILDER'!E26)&lt;&gt;"",'BUILDER'!E26,'BUILDER'!I26)</f>
        <v/>
      </c>
      <c r="C20">
        <f>'BUILDER'!A26</f>
        <v/>
      </c>
      <c r="D20">
        <f>'BUILDER'!B26</f>
        <v/>
      </c>
      <c r="E20">
        <f>'BUILDER'!D26</f>
        <v/>
      </c>
      <c r="F20">
        <f>IF(TRIM('BUILDER'!K26)&lt;&gt;"",'BUILDER'!K26,"unspecified")</f>
        <v/>
      </c>
      <c r="G20">
        <f>'BUILDER'!C26</f>
        <v/>
      </c>
      <c r="H20">
        <f>'BUILDER'!L26</f>
        <v/>
      </c>
      <c r="I20">
        <f>'BUILDER'!M26</f>
        <v/>
      </c>
      <c r="J20">
        <f>'BUILDER'!N26</f>
        <v/>
      </c>
      <c r="K20">
        <f>'BUILDER'!O26</f>
        <v/>
      </c>
      <c r="L20" t="inlineStr"/>
      <c r="M20" t="inlineStr"/>
      <c r="N20">
        <f>'BUILDER'!P26</f>
        <v/>
      </c>
      <c r="O20">
        <f>'BUILDER'!Q26</f>
        <v/>
      </c>
      <c r="P20">
        <f>'BUILDER'!R26</f>
        <v/>
      </c>
      <c r="Q20">
        <f>'BUILDER'!S26</f>
        <v/>
      </c>
      <c r="R20">
        <f>'BUILDER'!T26</f>
        <v/>
      </c>
      <c r="S20">
        <f>'BUILDER'!U26</f>
        <v/>
      </c>
      <c r="T20">
        <f>'BUILDER'!X26</f>
        <v/>
      </c>
      <c r="U20">
        <f>'BUILDER'!Y26</f>
        <v/>
      </c>
      <c r="V20">
        <f>'BUILDER'!Z26</f>
        <v/>
      </c>
      <c r="W20">
        <f>'BUILDER'!AA26</f>
        <v/>
      </c>
      <c r="X20">
        <f>'BUILDER'!AB26</f>
        <v/>
      </c>
      <c r="Y20">
        <f>'BUILDER'!AC26</f>
        <v/>
      </c>
      <c r="Z20">
        <f>'BUILDER'!AD26</f>
        <v/>
      </c>
      <c r="AA20">
        <f>'BUILDER'!AE26</f>
        <v/>
      </c>
      <c r="AB20">
        <f>'BUILDER'!AF26</f>
        <v/>
      </c>
      <c r="AC20">
        <f>'BUILDER'!V26</f>
        <v/>
      </c>
      <c r="AD20">
        <f>'BUILDER'!W26</f>
        <v/>
      </c>
    </row>
    <row r="21">
      <c r="A21">
        <f>'BUILDER'!I27</f>
        <v/>
      </c>
      <c r="B21">
        <f>IF(TRIM('BUILDER'!E27)&lt;&gt;"",'BUILDER'!E27,'BUILDER'!I27)</f>
        <v/>
      </c>
      <c r="C21">
        <f>'BUILDER'!A27</f>
        <v/>
      </c>
      <c r="D21">
        <f>'BUILDER'!B27</f>
        <v/>
      </c>
      <c r="E21">
        <f>'BUILDER'!D27</f>
        <v/>
      </c>
      <c r="F21">
        <f>IF(TRIM('BUILDER'!K27)&lt;&gt;"",'BUILDER'!K27,"unspecified")</f>
        <v/>
      </c>
      <c r="G21">
        <f>'BUILDER'!C27</f>
        <v/>
      </c>
      <c r="H21">
        <f>'BUILDER'!L27</f>
        <v/>
      </c>
      <c r="I21">
        <f>'BUILDER'!M27</f>
        <v/>
      </c>
      <c r="J21">
        <f>'BUILDER'!N27</f>
        <v/>
      </c>
      <c r="K21">
        <f>'BUILDER'!O27</f>
        <v/>
      </c>
      <c r="L21" t="inlineStr"/>
      <c r="M21" t="inlineStr"/>
      <c r="N21">
        <f>'BUILDER'!P27</f>
        <v/>
      </c>
      <c r="O21">
        <f>'BUILDER'!Q27</f>
        <v/>
      </c>
      <c r="P21">
        <f>'BUILDER'!R27</f>
        <v/>
      </c>
      <c r="Q21">
        <f>'BUILDER'!S27</f>
        <v/>
      </c>
      <c r="R21">
        <f>'BUILDER'!T27</f>
        <v/>
      </c>
      <c r="S21">
        <f>'BUILDER'!U27</f>
        <v/>
      </c>
      <c r="T21">
        <f>'BUILDER'!X27</f>
        <v/>
      </c>
      <c r="U21">
        <f>'BUILDER'!Y27</f>
        <v/>
      </c>
      <c r="V21">
        <f>'BUILDER'!Z27</f>
        <v/>
      </c>
      <c r="W21">
        <f>'BUILDER'!AA27</f>
        <v/>
      </c>
      <c r="X21">
        <f>'BUILDER'!AB27</f>
        <v/>
      </c>
      <c r="Y21">
        <f>'BUILDER'!AC27</f>
        <v/>
      </c>
      <c r="Z21">
        <f>'BUILDER'!AD27</f>
        <v/>
      </c>
      <c r="AA21">
        <f>'BUILDER'!AE27</f>
        <v/>
      </c>
      <c r="AB21">
        <f>'BUILDER'!AF27</f>
        <v/>
      </c>
      <c r="AC21">
        <f>'BUILDER'!V27</f>
        <v/>
      </c>
      <c r="AD21">
        <f>'BUILDER'!W27</f>
        <v/>
      </c>
    </row>
    <row r="22">
      <c r="A22">
        <f>'BUILDER'!I28</f>
        <v/>
      </c>
      <c r="B22">
        <f>IF(TRIM('BUILDER'!E28)&lt;&gt;"",'BUILDER'!E28,'BUILDER'!I28)</f>
        <v/>
      </c>
      <c r="C22">
        <f>'BUILDER'!A28</f>
        <v/>
      </c>
      <c r="D22">
        <f>'BUILDER'!B28</f>
        <v/>
      </c>
      <c r="E22">
        <f>'BUILDER'!D28</f>
        <v/>
      </c>
      <c r="F22">
        <f>IF(TRIM('BUILDER'!K28)&lt;&gt;"",'BUILDER'!K28,"unspecified")</f>
        <v/>
      </c>
      <c r="G22">
        <f>'BUILDER'!C28</f>
        <v/>
      </c>
      <c r="H22">
        <f>'BUILDER'!L28</f>
        <v/>
      </c>
      <c r="I22">
        <f>'BUILDER'!M28</f>
        <v/>
      </c>
      <c r="J22">
        <f>'BUILDER'!N28</f>
        <v/>
      </c>
      <c r="K22">
        <f>'BUILDER'!O28</f>
        <v/>
      </c>
      <c r="L22" t="inlineStr"/>
      <c r="M22" t="inlineStr"/>
      <c r="N22">
        <f>'BUILDER'!P28</f>
        <v/>
      </c>
      <c r="O22">
        <f>'BUILDER'!Q28</f>
        <v/>
      </c>
      <c r="P22">
        <f>'BUILDER'!R28</f>
        <v/>
      </c>
      <c r="Q22">
        <f>'BUILDER'!S28</f>
        <v/>
      </c>
      <c r="R22">
        <f>'BUILDER'!T28</f>
        <v/>
      </c>
      <c r="S22">
        <f>'BUILDER'!U28</f>
        <v/>
      </c>
      <c r="T22">
        <f>'BUILDER'!X28</f>
        <v/>
      </c>
      <c r="U22">
        <f>'BUILDER'!Y28</f>
        <v/>
      </c>
      <c r="V22">
        <f>'BUILDER'!Z28</f>
        <v/>
      </c>
      <c r="W22">
        <f>'BUILDER'!AA28</f>
        <v/>
      </c>
      <c r="X22">
        <f>'BUILDER'!AB28</f>
        <v/>
      </c>
      <c r="Y22">
        <f>'BUILDER'!AC28</f>
        <v/>
      </c>
      <c r="Z22">
        <f>'BUILDER'!AD28</f>
        <v/>
      </c>
      <c r="AA22">
        <f>'BUILDER'!AE28</f>
        <v/>
      </c>
      <c r="AB22">
        <f>'BUILDER'!AF28</f>
        <v/>
      </c>
      <c r="AC22">
        <f>'BUILDER'!V28</f>
        <v/>
      </c>
      <c r="AD22">
        <f>'BUILDER'!W28</f>
        <v/>
      </c>
    </row>
    <row r="23">
      <c r="A23">
        <f>'BUILDER'!I29</f>
        <v/>
      </c>
      <c r="B23">
        <f>IF(TRIM('BUILDER'!E29)&lt;&gt;"",'BUILDER'!E29,'BUILDER'!I29)</f>
        <v/>
      </c>
      <c r="C23">
        <f>'BUILDER'!A29</f>
        <v/>
      </c>
      <c r="D23">
        <f>'BUILDER'!B29</f>
        <v/>
      </c>
      <c r="E23">
        <f>'BUILDER'!D29</f>
        <v/>
      </c>
      <c r="F23">
        <f>IF(TRIM('BUILDER'!K29)&lt;&gt;"",'BUILDER'!K29,"unspecified")</f>
        <v/>
      </c>
      <c r="G23">
        <f>'BUILDER'!C29</f>
        <v/>
      </c>
      <c r="H23">
        <f>'BUILDER'!L29</f>
        <v/>
      </c>
      <c r="I23">
        <f>'BUILDER'!M29</f>
        <v/>
      </c>
      <c r="J23">
        <f>'BUILDER'!N29</f>
        <v/>
      </c>
      <c r="K23">
        <f>'BUILDER'!O29</f>
        <v/>
      </c>
      <c r="L23" t="inlineStr"/>
      <c r="M23" t="inlineStr"/>
      <c r="N23">
        <f>'BUILDER'!P29</f>
        <v/>
      </c>
      <c r="O23">
        <f>'BUILDER'!Q29</f>
        <v/>
      </c>
      <c r="P23">
        <f>'BUILDER'!R29</f>
        <v/>
      </c>
      <c r="Q23">
        <f>'BUILDER'!S29</f>
        <v/>
      </c>
      <c r="R23">
        <f>'BUILDER'!T29</f>
        <v/>
      </c>
      <c r="S23">
        <f>'BUILDER'!U29</f>
        <v/>
      </c>
      <c r="T23">
        <f>'BUILDER'!X29</f>
        <v/>
      </c>
      <c r="U23">
        <f>'BUILDER'!Y29</f>
        <v/>
      </c>
      <c r="V23">
        <f>'BUILDER'!Z29</f>
        <v/>
      </c>
      <c r="W23">
        <f>'BUILDER'!AA29</f>
        <v/>
      </c>
      <c r="X23">
        <f>'BUILDER'!AB29</f>
        <v/>
      </c>
      <c r="Y23">
        <f>'BUILDER'!AC29</f>
        <v/>
      </c>
      <c r="Z23">
        <f>'BUILDER'!AD29</f>
        <v/>
      </c>
      <c r="AA23">
        <f>'BUILDER'!AE29</f>
        <v/>
      </c>
      <c r="AB23">
        <f>'BUILDER'!AF29</f>
        <v/>
      </c>
      <c r="AC23">
        <f>'BUILDER'!V29</f>
        <v/>
      </c>
      <c r="AD23">
        <f>'BUILDER'!W29</f>
        <v/>
      </c>
    </row>
    <row r="24">
      <c r="A24">
        <f>'BUILDER'!I30</f>
        <v/>
      </c>
      <c r="B24">
        <f>IF(TRIM('BUILDER'!E30)&lt;&gt;"",'BUILDER'!E30,'BUILDER'!I30)</f>
        <v/>
      </c>
      <c r="C24">
        <f>'BUILDER'!A30</f>
        <v/>
      </c>
      <c r="D24">
        <f>'BUILDER'!B30</f>
        <v/>
      </c>
      <c r="E24">
        <f>'BUILDER'!D30</f>
        <v/>
      </c>
      <c r="F24">
        <f>IF(TRIM('BUILDER'!K30)&lt;&gt;"",'BUILDER'!K30,"unspecified")</f>
        <v/>
      </c>
      <c r="G24">
        <f>'BUILDER'!C30</f>
        <v/>
      </c>
      <c r="H24">
        <f>'BUILDER'!L30</f>
        <v/>
      </c>
      <c r="I24">
        <f>'BUILDER'!M30</f>
        <v/>
      </c>
      <c r="J24">
        <f>'BUILDER'!N30</f>
        <v/>
      </c>
      <c r="K24">
        <f>'BUILDER'!O30</f>
        <v/>
      </c>
      <c r="L24" t="inlineStr"/>
      <c r="M24" t="inlineStr"/>
      <c r="N24">
        <f>'BUILDER'!P30</f>
        <v/>
      </c>
      <c r="O24">
        <f>'BUILDER'!Q30</f>
        <v/>
      </c>
      <c r="P24">
        <f>'BUILDER'!R30</f>
        <v/>
      </c>
      <c r="Q24">
        <f>'BUILDER'!S30</f>
        <v/>
      </c>
      <c r="R24">
        <f>'BUILDER'!T30</f>
        <v/>
      </c>
      <c r="S24">
        <f>'BUILDER'!U30</f>
        <v/>
      </c>
      <c r="T24">
        <f>'BUILDER'!X30</f>
        <v/>
      </c>
      <c r="U24">
        <f>'BUILDER'!Y30</f>
        <v/>
      </c>
      <c r="V24">
        <f>'BUILDER'!Z30</f>
        <v/>
      </c>
      <c r="W24">
        <f>'BUILDER'!AA30</f>
        <v/>
      </c>
      <c r="X24">
        <f>'BUILDER'!AB30</f>
        <v/>
      </c>
      <c r="Y24">
        <f>'BUILDER'!AC30</f>
        <v/>
      </c>
      <c r="Z24">
        <f>'BUILDER'!AD30</f>
        <v/>
      </c>
      <c r="AA24">
        <f>'BUILDER'!AE30</f>
        <v/>
      </c>
      <c r="AB24">
        <f>'BUILDER'!AF30</f>
        <v/>
      </c>
      <c r="AC24">
        <f>'BUILDER'!V30</f>
        <v/>
      </c>
      <c r="AD24">
        <f>'BUILDER'!W30</f>
        <v/>
      </c>
    </row>
    <row r="25">
      <c r="A25">
        <f>'BUILDER'!I31</f>
        <v/>
      </c>
      <c r="B25">
        <f>IF(TRIM('BUILDER'!E31)&lt;&gt;"",'BUILDER'!E31,'BUILDER'!I31)</f>
        <v/>
      </c>
      <c r="C25">
        <f>'BUILDER'!A31</f>
        <v/>
      </c>
      <c r="D25">
        <f>'BUILDER'!B31</f>
        <v/>
      </c>
      <c r="E25">
        <f>'BUILDER'!D31</f>
        <v/>
      </c>
      <c r="F25">
        <f>IF(TRIM('BUILDER'!K31)&lt;&gt;"",'BUILDER'!K31,"unspecified")</f>
        <v/>
      </c>
      <c r="G25">
        <f>'BUILDER'!C31</f>
        <v/>
      </c>
      <c r="H25">
        <f>'BUILDER'!L31</f>
        <v/>
      </c>
      <c r="I25">
        <f>'BUILDER'!M31</f>
        <v/>
      </c>
      <c r="J25">
        <f>'BUILDER'!N31</f>
        <v/>
      </c>
      <c r="K25">
        <f>'BUILDER'!O31</f>
        <v/>
      </c>
      <c r="L25" t="inlineStr"/>
      <c r="M25" t="inlineStr"/>
      <c r="N25">
        <f>'BUILDER'!P31</f>
        <v/>
      </c>
      <c r="O25">
        <f>'BUILDER'!Q31</f>
        <v/>
      </c>
      <c r="P25">
        <f>'BUILDER'!R31</f>
        <v/>
      </c>
      <c r="Q25">
        <f>'BUILDER'!S31</f>
        <v/>
      </c>
      <c r="R25">
        <f>'BUILDER'!T31</f>
        <v/>
      </c>
      <c r="S25">
        <f>'BUILDER'!U31</f>
        <v/>
      </c>
      <c r="T25">
        <f>'BUILDER'!X31</f>
        <v/>
      </c>
      <c r="U25">
        <f>'BUILDER'!Y31</f>
        <v/>
      </c>
      <c r="V25">
        <f>'BUILDER'!Z31</f>
        <v/>
      </c>
      <c r="W25">
        <f>'BUILDER'!AA31</f>
        <v/>
      </c>
      <c r="X25">
        <f>'BUILDER'!AB31</f>
        <v/>
      </c>
      <c r="Y25">
        <f>'BUILDER'!AC31</f>
        <v/>
      </c>
      <c r="Z25">
        <f>'BUILDER'!AD31</f>
        <v/>
      </c>
      <c r="AA25">
        <f>'BUILDER'!AE31</f>
        <v/>
      </c>
      <c r="AB25">
        <f>'BUILDER'!AF31</f>
        <v/>
      </c>
      <c r="AC25">
        <f>'BUILDER'!V31</f>
        <v/>
      </c>
      <c r="AD25">
        <f>'BUILDER'!W31</f>
        <v/>
      </c>
    </row>
    <row r="26">
      <c r="A26">
        <f>'BUILDER'!I32</f>
        <v/>
      </c>
      <c r="B26">
        <f>IF(TRIM('BUILDER'!E32)&lt;&gt;"",'BUILDER'!E32,'BUILDER'!I32)</f>
        <v/>
      </c>
      <c r="C26">
        <f>'BUILDER'!A32</f>
        <v/>
      </c>
      <c r="D26">
        <f>'BUILDER'!B32</f>
        <v/>
      </c>
      <c r="E26">
        <f>'BUILDER'!D32</f>
        <v/>
      </c>
      <c r="F26">
        <f>IF(TRIM('BUILDER'!K32)&lt;&gt;"",'BUILDER'!K32,"unspecified")</f>
        <v/>
      </c>
      <c r="G26">
        <f>'BUILDER'!C32</f>
        <v/>
      </c>
      <c r="H26">
        <f>'BUILDER'!L32</f>
        <v/>
      </c>
      <c r="I26">
        <f>'BUILDER'!M32</f>
        <v/>
      </c>
      <c r="J26">
        <f>'BUILDER'!N32</f>
        <v/>
      </c>
      <c r="K26">
        <f>'BUILDER'!O32</f>
        <v/>
      </c>
      <c r="L26" t="inlineStr"/>
      <c r="M26" t="inlineStr"/>
      <c r="N26">
        <f>'BUILDER'!P32</f>
        <v/>
      </c>
      <c r="O26">
        <f>'BUILDER'!Q32</f>
        <v/>
      </c>
      <c r="P26">
        <f>'BUILDER'!R32</f>
        <v/>
      </c>
      <c r="Q26">
        <f>'BUILDER'!S32</f>
        <v/>
      </c>
      <c r="R26">
        <f>'BUILDER'!T32</f>
        <v/>
      </c>
      <c r="S26">
        <f>'BUILDER'!U32</f>
        <v/>
      </c>
      <c r="T26">
        <f>'BUILDER'!X32</f>
        <v/>
      </c>
      <c r="U26">
        <f>'BUILDER'!Y32</f>
        <v/>
      </c>
      <c r="V26">
        <f>'BUILDER'!Z32</f>
        <v/>
      </c>
      <c r="W26">
        <f>'BUILDER'!AA32</f>
        <v/>
      </c>
      <c r="X26">
        <f>'BUILDER'!AB32</f>
        <v/>
      </c>
      <c r="Y26">
        <f>'BUILDER'!AC32</f>
        <v/>
      </c>
      <c r="Z26">
        <f>'BUILDER'!AD32</f>
        <v/>
      </c>
      <c r="AA26">
        <f>'BUILDER'!AE32</f>
        <v/>
      </c>
      <c r="AB26">
        <f>'BUILDER'!AF32</f>
        <v/>
      </c>
      <c r="AC26">
        <f>'BUILDER'!V32</f>
        <v/>
      </c>
      <c r="AD26">
        <f>'BUILDER'!W32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5" customWidth="1" min="3" max="3"/>
    <col width="48" customWidth="1" min="4" max="4"/>
  </cols>
  <sheetData>
    <row r="1">
      <c r="A1" s="5" t="inlineStr">
        <is>
          <t>Field</t>
        </is>
      </c>
      <c r="B1" s="5" t="inlineStr">
        <is>
          <t>Accepted value</t>
        </is>
      </c>
      <c r="C1" s="5" t="inlineStr">
        <is>
          <t>Plain-English meaning</t>
        </is>
      </c>
      <c r="D1" s="5" t="inlineStr">
        <is>
          <t>When to use</t>
        </is>
      </c>
    </row>
    <row r="2">
      <c r="A2" s="4" t="inlineStr">
        <is>
          <t>product</t>
        </is>
      </c>
      <c r="B2" s="4" t="inlineStr">
        <is>
          <t>Family History</t>
        </is>
      </c>
      <c r="C2" s="4" t="inlineStr">
        <is>
          <t>The Family History product line.</t>
        </is>
      </c>
      <c r="D2" s="4" t="inlineStr">
        <is>
          <t>Every outcome must belong to one product.</t>
        </is>
      </c>
    </row>
    <row r="3">
      <c r="A3" s="4" t="inlineStr">
        <is>
          <t>product</t>
        </is>
      </c>
      <c r="B3" s="4" t="inlineStr">
        <is>
          <t>DNA</t>
        </is>
      </c>
      <c r="C3" s="4" t="inlineStr">
        <is>
          <t>The DNA product line.</t>
        </is>
      </c>
      <c r="D3" s="4" t="inlineStr">
        <is>
          <t>Every outcome must belong to one product.</t>
        </is>
      </c>
    </row>
    <row r="4">
      <c r="A4" s="4" t="inlineStr">
        <is>
          <t>metric_key</t>
        </is>
      </c>
      <c r="B4" s="4" t="inlineStr">
        <is>
          <t>fh_gsa</t>
        </is>
      </c>
      <c r="C4" s="4" t="inlineStr">
        <is>
          <t>GSA (Family History).</t>
        </is>
      </c>
      <c r="D4" s="4" t="inlineStr">
        <is>
          <t>Use the registered key whenever the metric already exists.</t>
        </is>
      </c>
    </row>
    <row r="5">
      <c r="A5" s="4" t="inlineStr">
        <is>
          <t>metric_key</t>
        </is>
      </c>
      <c r="B5" s="4" t="inlineStr">
        <is>
          <t>fh_signup</t>
        </is>
      </c>
      <c r="C5" s="4" t="inlineStr">
        <is>
          <t>Sign-up (Family History).</t>
        </is>
      </c>
      <c r="D5" s="4" t="inlineStr">
        <is>
          <t>Use the registered key whenever the metric already exists.</t>
        </is>
      </c>
    </row>
    <row r="6">
      <c r="A6" s="4" t="inlineStr">
        <is>
          <t>metric_key</t>
        </is>
      </c>
      <c r="B6" s="4" t="inlineStr">
        <is>
          <t>dna_kit_sale</t>
        </is>
      </c>
      <c r="C6" s="4" t="inlineStr">
        <is>
          <t>Kit sale (DNA).</t>
        </is>
      </c>
      <c r="D6" s="4" t="inlineStr">
        <is>
          <t>Use the registered key whenever the metric already exists.</t>
        </is>
      </c>
    </row>
    <row r="7">
      <c r="A7" s="4" t="inlineStr">
        <is>
          <t>metric_key</t>
        </is>
      </c>
      <c r="B7" s="4" t="inlineStr">
        <is>
          <t>fh_net_billthrough_count</t>
        </is>
      </c>
      <c r="C7" s="4" t="inlineStr">
        <is>
          <t>Net bill-through count (Family History).</t>
        </is>
      </c>
      <c r="D7" s="4" t="inlineStr">
        <is>
          <t>Use the registered key whenever the metric already exists.</t>
        </is>
      </c>
    </row>
    <row r="8">
      <c r="A8" s="4" t="inlineStr">
        <is>
          <t>metric_key</t>
        </is>
      </c>
      <c r="B8" s="4" t="inlineStr">
        <is>
          <t>fh_net_billthrough_rate</t>
        </is>
      </c>
      <c r="C8" s="4" t="inlineStr">
        <is>
          <t>Net bill-through rate (Family History).</t>
        </is>
      </c>
      <c r="D8" s="4" t="inlineStr">
        <is>
          <t>Use the registered key whenever the metric already exists.</t>
        </is>
      </c>
    </row>
    <row r="9">
      <c r="A9" s="4" t="inlineStr">
        <is>
          <t>metric_key</t>
        </is>
      </c>
      <c r="B9" s="4" t="inlineStr">
        <is>
          <t>fh_gsa_finance_date</t>
        </is>
      </c>
      <c r="C9" s="4" t="inlineStr">
        <is>
          <t>GSA (finance date) (Family History).</t>
        </is>
      </c>
      <c r="D9" s="4" t="inlineStr">
        <is>
          <t>Use the registered key whenever the metric already exists.</t>
        </is>
      </c>
    </row>
    <row r="10">
      <c r="A10" s="4" t="inlineStr">
        <is>
          <t>metric_key</t>
        </is>
      </c>
      <c r="B10" s="4" t="inlineStr">
        <is>
          <t>dna_kit_sale_self_activated</t>
        </is>
      </c>
      <c r="C10" s="4" t="inlineStr">
        <is>
          <t>Kit sale (self-activated) (DNA).</t>
        </is>
      </c>
      <c r="D10" s="4" t="inlineStr">
        <is>
          <t>Use the registered key whenever the metric already exists.</t>
        </is>
      </c>
    </row>
    <row r="11">
      <c r="A11" s="4" t="inlineStr">
        <is>
          <t>metric_key</t>
        </is>
      </c>
      <c r="B11" s="4" t="inlineStr">
        <is>
          <t>dna_kit_sale_gifted_activated</t>
        </is>
      </c>
      <c r="C11" s="4" t="inlineStr">
        <is>
          <t>Kit sale (gifted-activated) (DNA).</t>
        </is>
      </c>
      <c r="D11" s="4" t="inlineStr">
        <is>
          <t>Use the registered key whenever the metric already exists.</t>
        </is>
      </c>
    </row>
    <row r="12">
      <c r="A12" s="4" t="inlineStr">
        <is>
          <t>metric_key</t>
        </is>
      </c>
      <c r="B12" s="4" t="inlineStr">
        <is>
          <t>dna_kit_sale_unactivated</t>
        </is>
      </c>
      <c r="C12" s="4" t="inlineStr">
        <is>
          <t>Kit sale (unactivated) (DNA).</t>
        </is>
      </c>
      <c r="D12" s="4" t="inlineStr">
        <is>
          <t>Use the registered key whenever the metric already exists.</t>
        </is>
      </c>
    </row>
    <row r="13">
      <c r="A13" s="4" t="inlineStr">
        <is>
          <t>metric_key</t>
        </is>
      </c>
      <c r="B13" s="4" t="inlineStr">
        <is>
          <t>dna_kit_sale_total</t>
        </is>
      </c>
      <c r="C13" s="4" t="inlineStr">
        <is>
          <t>Kit sale (total) (DNA).</t>
        </is>
      </c>
      <c r="D13" s="4" t="inlineStr">
        <is>
          <t>Use the registered key whenever the metric already exists.</t>
        </is>
      </c>
    </row>
    <row r="14">
      <c r="A14" s="4" t="inlineStr">
        <is>
          <t>metric_key</t>
        </is>
      </c>
      <c r="B14" s="4" t="inlineStr">
        <is>
          <t>custom</t>
        </is>
      </c>
      <c r="C14" s="4" t="inlineStr">
        <is>
          <t>A genuinely new measure not yet in the registry.</t>
        </is>
      </c>
      <c r="D14" s="4" t="inlineStr">
        <is>
          <t>Only when no registered key matches.</t>
        </is>
      </c>
    </row>
    <row r="15">
      <c r="A15" s="4" t="inlineStr">
        <is>
          <t>segment_dimension</t>
        </is>
      </c>
      <c r="B15" s="4" t="inlineStr">
        <is>
          <t>fh_customer_segment</t>
        </is>
      </c>
      <c r="C15" s="4" t="inlineStr">
        <is>
          <t>Which approved vocabulary the segment value comes from.</t>
        </is>
      </c>
      <c r="D15" s="4" t="inlineStr">
        <is>
          <t>Only if the same segment word could mean different things in different places.</t>
        </is>
      </c>
    </row>
    <row r="16">
      <c r="A16" s="4" t="inlineStr">
        <is>
          <t>segment_dimension</t>
        </is>
      </c>
      <c r="B16" s="4" t="inlineStr">
        <is>
          <t>dna_customer_relationship</t>
        </is>
      </c>
      <c r="C16" s="4" t="inlineStr">
        <is>
          <t>Which approved vocabulary the segment value comes from.</t>
        </is>
      </c>
      <c r="D16" s="4" t="inlineStr">
        <is>
          <t>Only if the same segment word could mean different things in different places.</t>
        </is>
      </c>
    </row>
    <row r="17">
      <c r="A17" s="4" t="inlineStr">
        <is>
          <t>segment_dimension</t>
        </is>
      </c>
      <c r="B17" s="4" t="inlineStr">
        <is>
          <t>dna_purchase_recipient</t>
        </is>
      </c>
      <c r="C17" s="4" t="inlineStr">
        <is>
          <t>Which approved vocabulary the segment value comes from.</t>
        </is>
      </c>
      <c r="D17" s="4" t="inlineStr">
        <is>
          <t>Only if the same segment word could mean different things in different places.</t>
        </is>
      </c>
    </row>
    <row r="18">
      <c r="A18" s="4" t="inlineStr">
        <is>
          <t>segment_dimension</t>
        </is>
      </c>
      <c r="B18" s="4" t="inlineStr">
        <is>
          <t>dna_activation_status</t>
        </is>
      </c>
      <c r="C18" s="4" t="inlineStr">
        <is>
          <t>Which approved vocabulary the segment value comes from.</t>
        </is>
      </c>
      <c r="D18" s="4" t="inlineStr">
        <is>
          <t>Only if the same segment word could mean different things in different places.</t>
        </is>
      </c>
    </row>
    <row r="19">
      <c r="A19" s="4" t="inlineStr">
        <is>
          <t>segment_dimension</t>
        </is>
      </c>
      <c r="B19" s="4" t="inlineStr">
        <is>
          <t>combined</t>
        </is>
      </c>
      <c r="C19" s="4" t="inlineStr">
        <is>
          <t>Which approved vocabulary the segment value comes from.</t>
        </is>
      </c>
      <c r="D19" s="4" t="inlineStr">
        <is>
          <t>Only if the same segment word could mean different things in different places.</t>
        </is>
      </c>
    </row>
    <row r="20">
      <c r="A20" s="4" t="inlineStr">
        <is>
          <t>segment_dimension</t>
        </is>
      </c>
      <c r="B20" s="4" t="inlineStr">
        <is>
          <t>custom</t>
        </is>
      </c>
      <c r="C20" s="4" t="inlineStr">
        <is>
          <t>Which approved vocabulary the segment value comes from.</t>
        </is>
      </c>
      <c r="D20" s="4" t="inlineStr">
        <is>
          <t>Only if the same segment word could mean different things in different places.</t>
        </is>
      </c>
    </row>
    <row r="21">
      <c r="A21" s="4" t="inlineStr">
        <is>
          <t>segment_dimension</t>
        </is>
      </c>
      <c r="B21" s="4" t="inlineStr">
        <is>
          <t>unspecified</t>
        </is>
      </c>
      <c r="C21" s="4" t="inlineStr">
        <is>
          <t>Which approved vocabulary the segment value comes from.</t>
        </is>
      </c>
      <c r="D21" s="4" t="inlineStr">
        <is>
          <t>Only if the same segment word could mean different things in different places.</t>
        </is>
      </c>
    </row>
    <row r="22">
      <c r="A22" s="4" t="inlineStr">
        <is>
          <t>group_aggregation</t>
        </is>
      </c>
      <c r="B22" s="4" t="inlineStr">
        <is>
          <t>sum</t>
        </is>
      </c>
      <c r="C22" s="4" t="inlineStr">
        <is>
          <t>sum = components add to a governed total; none = descriptive grouping only.</t>
        </is>
      </c>
      <c r="D22" s="4" t="inlineStr">
        <is>
          <t>Only if this outcome is part of a governed semantic group.</t>
        </is>
      </c>
    </row>
    <row r="23">
      <c r="A23" s="4" t="inlineStr">
        <is>
          <t>group_aggregation</t>
        </is>
      </c>
      <c r="B23" s="4" t="inlineStr">
        <is>
          <t>none</t>
        </is>
      </c>
      <c r="C23" s="4" t="inlineStr">
        <is>
          <t>sum = components add to a governed total; none = descriptive grouping only.</t>
        </is>
      </c>
      <c r="D23" s="4" t="inlineStr">
        <is>
          <t>Only if this outcome is part of a governed semantic group.</t>
        </is>
      </c>
    </row>
    <row r="24">
      <c r="A24" s="4" t="inlineStr">
        <is>
          <t>role</t>
        </is>
      </c>
      <c r="B24" s="4" t="inlineStr">
        <is>
          <t>primary</t>
        </is>
      </c>
      <c r="C24" s="4" t="inlineStr">
        <is>
          <t>Drives the default eligibility switches when they are left blank.</t>
        </is>
      </c>
      <c r="D24" s="4" t="inlineStr">
        <is>
          <t>Only if the primary default does not match this outcome.</t>
        </is>
      </c>
    </row>
    <row r="25">
      <c r="A25" s="4" t="inlineStr">
        <is>
          <t>role</t>
        </is>
      </c>
      <c r="B25" s="4" t="inlineStr">
        <is>
          <t>secondary</t>
        </is>
      </c>
      <c r="C25" s="4" t="inlineStr">
        <is>
          <t>Drives the default eligibility switches when they are left blank.</t>
        </is>
      </c>
      <c r="D25" s="4" t="inlineStr">
        <is>
          <t>Only if the primary default does not match this outcome.</t>
        </is>
      </c>
    </row>
    <row r="26">
      <c r="A26" s="4" t="inlineStr">
        <is>
          <t>role</t>
        </is>
      </c>
      <c r="B26" s="4" t="inlineStr">
        <is>
          <t>funnel_intermediate</t>
        </is>
      </c>
      <c r="C26" s="4" t="inlineStr">
        <is>
          <t>Drives the default eligibility switches when they are left blank.</t>
        </is>
      </c>
      <c r="D26" s="4" t="inlineStr">
        <is>
          <t>Only if the primary default does not match this outcome.</t>
        </is>
      </c>
    </row>
    <row r="27">
      <c r="A27" s="4" t="inlineStr">
        <is>
          <t>role</t>
        </is>
      </c>
      <c r="B27" s="4" t="inlineStr">
        <is>
          <t>diagnostic</t>
        </is>
      </c>
      <c r="C27" s="4" t="inlineStr">
        <is>
          <t>Drives the default eligibility switches when they are left blank.</t>
        </is>
      </c>
      <c r="D27" s="4" t="inlineStr">
        <is>
          <t>Only if the primary default does not match this outcome.</t>
        </is>
      </c>
    </row>
    <row r="28">
      <c r="A28" s="4" t="inlineStr">
        <is>
          <t>included_in_fit</t>
        </is>
      </c>
      <c r="B28" s="4" t="inlineStr">
        <is>
          <t>TRUE</t>
        </is>
      </c>
      <c r="C28" s="4" t="inlineStr">
        <is>
          <t>This outcome is included for this purpose.</t>
        </is>
      </c>
      <c r="D28" s="4" t="inlineStr">
        <is>
          <t>Only to override the role-based default.</t>
        </is>
      </c>
    </row>
    <row r="29">
      <c r="A29" s="4" t="inlineStr">
        <is>
          <t>included_in_fit</t>
        </is>
      </c>
      <c r="B29" s="4" t="inlineStr">
        <is>
          <t>FALSE</t>
        </is>
      </c>
      <c r="C29" s="4" t="inlineStr">
        <is>
          <t>This outcome is excluded for this purpose.</t>
        </is>
      </c>
      <c r="D29" s="4" t="inlineStr">
        <is>
          <t>Only to override the role-based default.</t>
        </is>
      </c>
    </row>
    <row r="30">
      <c r="A30" s="4" t="inlineStr">
        <is>
          <t>include_in_default_reporting</t>
        </is>
      </c>
      <c r="B30" s="4" t="inlineStr">
        <is>
          <t>TRUE</t>
        </is>
      </c>
      <c r="C30" s="4" t="inlineStr">
        <is>
          <t>This outcome is included for this purpose.</t>
        </is>
      </c>
      <c r="D30" s="4" t="inlineStr">
        <is>
          <t>Only to override the role-based default.</t>
        </is>
      </c>
    </row>
    <row r="31">
      <c r="A31" s="4" t="inlineStr">
        <is>
          <t>include_in_default_reporting</t>
        </is>
      </c>
      <c r="B31" s="4" t="inlineStr">
        <is>
          <t>FALSE</t>
        </is>
      </c>
      <c r="C31" s="4" t="inlineStr">
        <is>
          <t>This outcome is excluded for this purpose.</t>
        </is>
      </c>
      <c r="D31" s="4" t="inlineStr">
        <is>
          <t>Only to override the role-based default.</t>
        </is>
      </c>
    </row>
    <row r="32">
      <c r="A32" s="4" t="inlineStr">
        <is>
          <t>include_in_official_total</t>
        </is>
      </c>
      <c r="B32" s="4" t="inlineStr">
        <is>
          <t>TRUE</t>
        </is>
      </c>
      <c r="C32" s="4" t="inlineStr">
        <is>
          <t>This outcome is included for this purpose.</t>
        </is>
      </c>
      <c r="D32" s="4" t="inlineStr">
        <is>
          <t>Only to override the role-based default.</t>
        </is>
      </c>
    </row>
    <row r="33">
      <c r="A33" s="4" t="inlineStr">
        <is>
          <t>include_in_official_total</t>
        </is>
      </c>
      <c r="B33" s="4" t="inlineStr">
        <is>
          <t>FALSE</t>
        </is>
      </c>
      <c r="C33" s="4" t="inlineStr">
        <is>
          <t>This outcome is excluded for this purpose.</t>
        </is>
      </c>
      <c r="D33" s="4" t="inlineStr">
        <is>
          <t>Only to override the role-based default.</t>
        </is>
      </c>
    </row>
    <row r="34">
      <c r="A34" s="4" t="inlineStr">
        <is>
          <t>include_in_value</t>
        </is>
      </c>
      <c r="B34" s="4" t="inlineStr">
        <is>
          <t>TRUE</t>
        </is>
      </c>
      <c r="C34" s="4" t="inlineStr">
        <is>
          <t>This outcome is included for this purpose.</t>
        </is>
      </c>
      <c r="D34" s="4" t="inlineStr">
        <is>
          <t>Only to override the role-based default.</t>
        </is>
      </c>
    </row>
    <row r="35">
      <c r="A35" s="4" t="inlineStr">
        <is>
          <t>include_in_value</t>
        </is>
      </c>
      <c r="B35" s="4" t="inlineStr">
        <is>
          <t>FALSE</t>
        </is>
      </c>
      <c r="C35" s="4" t="inlineStr">
        <is>
          <t>This outcome is excluded for this purpose.</t>
        </is>
      </c>
      <c r="D35" s="4" t="inlineStr">
        <is>
          <t>Only to override the role-based default.</t>
        </is>
      </c>
    </row>
    <row r="36">
      <c r="A36" s="4" t="inlineStr">
        <is>
          <t>include_in_optimisation</t>
        </is>
      </c>
      <c r="B36" s="4" t="inlineStr">
        <is>
          <t>TRUE</t>
        </is>
      </c>
      <c r="C36" s="4" t="inlineStr">
        <is>
          <t>This outcome is included for this purpose.</t>
        </is>
      </c>
      <c r="D36" s="4" t="inlineStr">
        <is>
          <t>Only to override the role-based default.</t>
        </is>
      </c>
    </row>
    <row r="37">
      <c r="A37" s="4" t="inlineStr">
        <is>
          <t>include_in_optimisation</t>
        </is>
      </c>
      <c r="B37" s="4" t="inlineStr">
        <is>
          <t>FALSE</t>
        </is>
      </c>
      <c r="C37" s="4" t="inlineStr">
        <is>
          <t>This outcome is excluded for this purpose.</t>
        </is>
      </c>
      <c r="D37" s="4" t="inlineStr">
        <is>
          <t>Only to override the role-based default.</t>
        </is>
      </c>
    </row>
    <row r="38">
      <c r="A38" s="4" t="inlineStr">
        <is>
          <t>segment</t>
        </is>
      </c>
      <c r="B38" s="4" t="inlineStr">
        <is>
          <t>Free text — no fixed list</t>
        </is>
      </c>
      <c r="C38" s="4" t="inlineStr">
        <is>
          <t>Not a governed enum.</t>
        </is>
      </c>
      <c r="D38" s="4" t="inlineStr">
        <is>
          <t>Enter as plain text; there is no dropdown.</t>
        </is>
      </c>
    </row>
    <row r="39">
      <c r="A39" s="4" t="inlineStr">
        <is>
          <t>metric</t>
        </is>
      </c>
      <c r="B39" s="4" t="inlineStr">
        <is>
          <t>Free text — no fixed list</t>
        </is>
      </c>
      <c r="C39" s="4" t="inlineStr">
        <is>
          <t>Not a governed enum.</t>
        </is>
      </c>
      <c r="D39" s="4" t="inlineStr">
        <is>
          <t>Enter as plain text; there is no dropdown.</t>
        </is>
      </c>
    </row>
    <row r="40">
      <c r="A40" s="4" t="inlineStr">
        <is>
          <t>source_column</t>
        </is>
      </c>
      <c r="B40" s="4" t="inlineStr">
        <is>
          <t>Free text — no fixed list</t>
        </is>
      </c>
      <c r="C40" s="4" t="inlineStr">
        <is>
          <t>Not a governed enum.</t>
        </is>
      </c>
      <c r="D40" s="4" t="inlineStr">
        <is>
          <t>Enter as plain text; there is no dropdown.</t>
        </is>
      </c>
    </row>
    <row r="41">
      <c r="A41" s="4" t="inlineStr">
        <is>
          <t>outcome_group_id</t>
        </is>
      </c>
      <c r="B41" s="4" t="inlineStr">
        <is>
          <t>Free text — no fixed list</t>
        </is>
      </c>
      <c r="C41" s="4" t="inlineStr">
        <is>
          <t>Not a governed enum.</t>
        </is>
      </c>
      <c r="D41" s="4" t="inlineStr">
        <is>
          <t>Enter as plain text; there is no dropdown.</t>
        </is>
      </c>
    </row>
    <row r="42">
      <c r="A42" s="4" t="inlineStr">
        <is>
          <t>outcome_group_label</t>
        </is>
      </c>
      <c r="B42" s="4" t="inlineStr">
        <is>
          <t>Free text — no fixed list</t>
        </is>
      </c>
      <c r="C42" s="4" t="inlineStr">
        <is>
          <t>Not a governed enum.</t>
        </is>
      </c>
      <c r="D42" s="4" t="inlineStr">
        <is>
          <t>Enter as plain text; there is no dropdown.</t>
        </is>
      </c>
    </row>
    <row r="43">
      <c r="A43" s="4" t="inlineStr">
        <is>
          <t>outcome_family_key</t>
        </is>
      </c>
      <c r="B43" s="4" t="inlineStr">
        <is>
          <t>Free text — no fixed list</t>
        </is>
      </c>
      <c r="C43" s="4" t="inlineStr">
        <is>
          <t>Not a governed enum.</t>
        </is>
      </c>
      <c r="D43" s="4" t="inlineStr">
        <is>
          <t>Enter as plain text; there is no dropdown.</t>
        </is>
      </c>
    </row>
    <row r="44">
      <c r="A44" s="4" t="inlineStr">
        <is>
          <t>value_weight</t>
        </is>
      </c>
      <c r="B44" s="4" t="inlineStr">
        <is>
          <t>Free text — no fixed list</t>
        </is>
      </c>
      <c r="C44" s="4" t="inlineStr">
        <is>
          <t>Not a governed enum.</t>
        </is>
      </c>
      <c r="D44" s="4" t="inlineStr">
        <is>
          <t>Enter as plain text; there is no dropdown.</t>
        </is>
      </c>
    </row>
    <row r="45">
      <c r="A45" s="4" t="inlineStr">
        <is>
          <t>value_currency</t>
        </is>
      </c>
      <c r="B45" s="4" t="inlineStr">
        <is>
          <t>Free text — no fixed list</t>
        </is>
      </c>
      <c r="C45" s="4" t="inlineStr">
        <is>
          <t>Not a governed enum.</t>
        </is>
      </c>
      <c r="D45" s="4" t="inlineStr">
        <is>
          <t>Enter as plain text; there is no dropdown.</t>
        </is>
      </c>
    </row>
    <row r="46">
      <c r="A46" s="4" t="inlineStr">
        <is>
          <t>definition_version</t>
        </is>
      </c>
      <c r="B46" s="4" t="inlineStr">
        <is>
          <t>Free text — no fixed list</t>
        </is>
      </c>
      <c r="C46" s="4" t="inlineStr">
        <is>
          <t>Not a governed enum.</t>
        </is>
      </c>
      <c r="D46" s="4" t="inlineStr">
        <is>
          <t>Enter as plain text; there is no dropdown.</t>
        </is>
      </c>
    </row>
    <row r="47">
      <c r="A47" s="4" t="inlineStr">
        <is>
          <t>event_definition</t>
        </is>
      </c>
      <c r="B47" s="4" t="inlineStr">
        <is>
          <t>Free text — no fixed list</t>
        </is>
      </c>
      <c r="C47" s="4" t="inlineStr">
        <is>
          <t>Not a governed enum.</t>
        </is>
      </c>
      <c r="D47" s="4" t="inlineStr">
        <is>
          <t>Enter as plain text; there is no dropdown.</t>
        </is>
      </c>
    </row>
    <row r="48">
      <c r="A48" s="4" t="inlineStr">
        <is>
          <t>cohort_or_attribution_basis</t>
        </is>
      </c>
      <c r="B48" s="4" t="inlineStr">
        <is>
          <t>Free text — no fixed list</t>
        </is>
      </c>
      <c r="C48" s="4" t="inlineStr">
        <is>
          <t>Not a governed enum.</t>
        </is>
      </c>
      <c r="D48" s="4" t="inlineStr">
        <is>
          <t>Enter as plain text; there is no dropdown.</t>
        </is>
      </c>
    </row>
    <row r="49">
      <c r="A49" s="4" t="inlineStr">
        <is>
          <t>completeness_or_maturity_policy</t>
        </is>
      </c>
      <c r="B49" s="4" t="inlineStr">
        <is>
          <t>Free text — no fixed list</t>
        </is>
      </c>
      <c r="C49" s="4" t="inlineStr">
        <is>
          <t>Not a governed enum.</t>
        </is>
      </c>
      <c r="D49" s="4" t="inlineStr">
        <is>
          <t>Enter as plain text; there is no dropdown.</t>
        </is>
      </c>
    </row>
    <row r="50">
      <c r="A50" s="4" t="inlineStr">
        <is>
          <t>exclusions</t>
        </is>
      </c>
      <c r="B50" s="4" t="inlineStr">
        <is>
          <t>Free text — no fixed list</t>
        </is>
      </c>
      <c r="C50" s="4" t="inlineStr">
        <is>
          <t>Not a governed enum.</t>
        </is>
      </c>
      <c r="D50" s="4" t="inlineStr">
        <is>
          <t>Enter as plain text; there is no dropdown.</t>
        </is>
      </c>
    </row>
    <row r="51">
      <c r="A51" s="4" t="inlineStr">
        <is>
          <t>reconciliation_source</t>
        </is>
      </c>
      <c r="B51" s="4" t="inlineStr">
        <is>
          <t>Free text — no fixed list</t>
        </is>
      </c>
      <c r="C51" s="4" t="inlineStr">
        <is>
          <t>Not a governed enum.</t>
        </is>
      </c>
      <c r="D51" s="4" t="inlineStr">
        <is>
          <t>Enter as plain text; there is no dropdown.</t>
        </is>
      </c>
    </row>
    <row r="52">
      <c r="A52" s="4" t="inlineStr">
        <is>
          <t>business_owner</t>
        </is>
      </c>
      <c r="B52" s="4" t="inlineStr">
        <is>
          <t>Free text — no fixed list</t>
        </is>
      </c>
      <c r="C52" s="4" t="inlineStr">
        <is>
          <t>Not a governed enum.</t>
        </is>
      </c>
      <c r="D52" s="4" t="inlineStr">
        <is>
          <t>Enter as plain text; there is no dropdown.</t>
        </is>
      </c>
    </row>
    <row r="53">
      <c r="A53" s="4" t="inlineStr">
        <is>
          <t>effective_from</t>
        </is>
      </c>
      <c r="B53" s="4" t="inlineStr">
        <is>
          <t>Free text — no fixed list</t>
        </is>
      </c>
      <c r="C53" s="4" t="inlineStr">
        <is>
          <t>Not a governed enum.</t>
        </is>
      </c>
      <c r="D53" s="4" t="inlineStr">
        <is>
          <t>Enter as plain text; there is no dropdown.</t>
        </is>
      </c>
    </row>
    <row r="54">
      <c r="A54" s="4" t="inlineStr">
        <is>
          <t>effective_to</t>
        </is>
      </c>
      <c r="B54" s="4" t="inlineStr">
        <is>
          <t>Free text — no fixed list</t>
        </is>
      </c>
      <c r="C54" s="4" t="inlineStr">
        <is>
          <t>Not a governed enum.</t>
        </is>
      </c>
      <c r="D54" s="4" t="inlineStr">
        <is>
          <t>Enter as plain text; there is no dropdown.</t>
        </is>
      </c>
    </row>
  </sheetData>
  <autoFilter ref="A1:D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</cols>
  <sheetData>
    <row r="1">
      <c r="A1" s="5" t="inlineStr">
        <is>
          <t>Example</t>
        </is>
      </c>
      <c r="B1" s="5" t="inlineStr">
        <is>
          <t>Outcome identity</t>
        </is>
      </c>
      <c r="C1" s="5" t="inlineStr">
        <is>
          <t>Why</t>
        </is>
      </c>
    </row>
    <row r="2">
      <c r="A2" s="4" t="inlineStr">
        <is>
          <t>Good</t>
        </is>
      </c>
      <c r="B2" s="4" t="inlineStr">
        <is>
          <t>fh_gsa_new</t>
        </is>
      </c>
      <c r="C2" s="4" t="inlineStr">
        <is>
          <t>Stable product + metric_key + segment identity; meaning is still in the dictionary.</t>
        </is>
      </c>
    </row>
    <row r="3">
      <c r="A3" s="4" t="inlineStr">
        <is>
          <t>Good</t>
        </is>
      </c>
      <c r="B3" s="4" t="inlineStr">
        <is>
          <t>dna_kit_sale_new_customer</t>
        </is>
      </c>
      <c r="C3" s="4" t="inlineStr">
        <is>
          <t>DNA relationship partition is explicit when source supports it.</t>
        </is>
      </c>
    </row>
    <row r="4">
      <c r="A4" s="4" t="inlineStr">
        <is>
          <t>Invalid</t>
        </is>
      </c>
      <c r="B4" s="4" t="inlineStr">
        <is>
          <t>gsa</t>
        </is>
      </c>
      <c r="C4" s="4" t="inlineStr">
        <is>
          <t>Too little identity; product and segment collide.</t>
        </is>
      </c>
    </row>
    <row r="5">
      <c r="A5" s="4" t="inlineStr">
        <is>
          <t>Invalid</t>
        </is>
      </c>
      <c r="B5" s="4" t="inlineStr">
        <is>
          <t>fh_gsa_2026_01_05_uk</t>
        </is>
      </c>
      <c r="C5" s="4" t="inlineStr">
        <is>
          <t>Time and market are row/source scope, not a new outcome definition.</t>
        </is>
      </c>
    </row>
    <row r="6">
      <c r="A6" s="4" t="inlineStr">
        <is>
          <t>Review</t>
        </is>
      </c>
      <c r="B6" s="4" t="inlineStr">
        <is>
          <t>fh_gsa_dna_cross_sell</t>
        </is>
      </c>
      <c r="C6" s="4" t="inlineStr">
        <is>
          <t>Use the approved project spelling/lineage; do not infer from a friendly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2026-09-08T05:49:00Z</dcterms:created>
  <dcterms:modified xsi:type="dcterms:W3CDTF">2026-09-08T05:49:00Z</dcterms:modified>
</cp:coreProperties>
</file>