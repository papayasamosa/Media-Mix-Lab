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 Builder" sheetId="1" state="visible" r:id="rId1"/>
    <sheet name="Reference" sheetId="2" state="visible" r:id="rId2"/>
    <sheet name="Read me" sheetId="3" state="visible" r:id="rId3"/>
    <sheet name="Examples" sheetId="4" state="visible" r:id="rId4"/>
  </sheets>
  <definedNames>
    <definedName name="_xlnm._FilterDatabase" localSheetId="1" hidden="1">'Reference'!$A$1:$J$29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2304A"/>
      <sz val="16"/>
    </font>
  </fonts>
  <fills count="6">
    <fill>
      <patternFill/>
    </fill>
    <fill>
      <patternFill patternType="gray125"/>
    </fill>
    <fill>
      <patternFill patternType="solid">
        <fgColor rgb="0012304A"/>
      </patternFill>
    </fill>
    <fill>
      <patternFill patternType="solid">
        <fgColor rgb="00FCE4E4"/>
      </patternFill>
    </fill>
    <fill>
      <patternFill patternType="solid">
        <fgColor rgb="00FFF1CC"/>
      </patternFill>
    </fill>
    <fill>
      <patternFill patternType="solid">
        <fgColor rgb="00E3F4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CE4E4"/>
        </patternFill>
      </fill>
    </dxf>
    <dxf>
      <fill>
        <patternFill patternType="solid">
          <fgColor rgb="00FFF1CC"/>
        </patternFill>
      </fill>
    </dxf>
    <dxf>
      <fill>
        <patternFill patternType="solid">
          <fgColor rgb="00E3F4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ActivityCandidates" displayName="ActivityCandidates" ref="A7:K15" headerRowCount="1">
  <autoFilter ref="A7:K15"/>
  <tableColumns count="11">
    <tableColumn id="1" name="channel"/>
    <tableColumn id="2" name="platform"/>
    <tableColumn id="3" name="campaign_type"/>
    <tableColumn id="4" name="search_platform"/>
    <tableColumn id="5" name="search_intent_group_id"/>
    <tableColumn id="6" name="activity_id (existing)"/>
    <tableColumn id="7" name="Manual override ID"/>
    <tableColumn id="8" name="Suggested ID"/>
    <tableColumn id="9" name="Final ID"/>
    <tableColumn id="10" name="Collision / completeness warning"/>
    <tableColumn id="11" name="Dictionary row preview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  <col width="20" customWidth="1" min="4" max="4"/>
    <col width="26" customWidth="1" min="5" max="5"/>
    <col width="29" customWidth="1" min="6" max="6"/>
    <col width="24" customWidth="1" min="7" max="7"/>
    <col width="32" customWidth="1" min="8" max="8"/>
    <col width="32" customWidth="1" min="9" max="9"/>
    <col width="65" customWidth="1" min="10" max="10"/>
    <col width="125" customWidth="1" min="11" max="11"/>
    <col hidden="1" width="2" customWidth="1" min="12" max="12"/>
    <col hidden="1" width="2" customWidth="1" min="13" max="13"/>
    <col hidden="1" width="2" customWidth="1" min="14" max="14"/>
    <col hidden="1" width="2" customWidth="1" min="15" max="15"/>
    <col hidden="1" width="2" customWidth="1" min="16" max="16"/>
    <col hidden="1" width="2" customWidth="1" min="17" max="17"/>
    <col hidden="1" width="2" customWidth="1" min="18" max="18"/>
    <col hidden="1" width="2" customWidth="1" min="19" max="19"/>
    <col hidden="1" width="2" customWidth="1" min="20" max="20"/>
    <col hidden="1" width="2" customWidth="1" min="21" max="21"/>
    <col hidden="1" width="2" customWidth="1" min="22" max="22"/>
    <col hidden="1" width="2" customWidth="1" min="23" max="23"/>
    <col hidden="1" width="2" customWidth="1" min="24" max="24"/>
    <col hidden="1" width="2" customWidth="1" min="25" max="25"/>
    <col hidden="1" width="2" customWidth="1" min="26" max="26"/>
  </cols>
  <sheetData>
    <row r="1">
      <c r="A1" s="1" t="inlineStr">
        <is>
          <t>Activity ID Builder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inlineStr">
        <is>
          <t>Formula-driven, no VBA · progressive collision checks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" t="inlineStr">
        <is>
          <t>Use the smallest stable identity that distinguishes an activity. Keep measures, units, and descriptive fields in the dictionary.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inlineStr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" t="inlineStr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2" t="inlineStr">
        <is>
          <t>channel</t>
        </is>
      </c>
      <c r="B7" s="2" t="inlineStr">
        <is>
          <t>platform</t>
        </is>
      </c>
      <c r="C7" s="2" t="inlineStr">
        <is>
          <t>campaign_type</t>
        </is>
      </c>
      <c r="D7" s="2" t="inlineStr">
        <is>
          <t>search_platform</t>
        </is>
      </c>
      <c r="E7" s="2" t="inlineStr">
        <is>
          <t>search_intent_group_id</t>
        </is>
      </c>
      <c r="F7" s="2" t="inlineStr">
        <is>
          <t>activity_id (existing)</t>
        </is>
      </c>
      <c r="G7" s="2" t="inlineStr">
        <is>
          <t>Manual override ID</t>
        </is>
      </c>
      <c r="H7" s="2" t="inlineStr">
        <is>
          <t>Suggested ID</t>
        </is>
      </c>
      <c r="I7" s="2" t="inlineStr">
        <is>
          <t>Final ID</t>
        </is>
      </c>
      <c r="J7" s="2" t="inlineStr">
        <is>
          <t>Collision / completeness warning</t>
        </is>
      </c>
      <c r="K7" s="2" t="inlineStr">
        <is>
          <t>Dictionary row preview</t>
        </is>
      </c>
      <c r="L7" s="2" t="inlineStr">
        <is>
          <t>_A_clean</t>
        </is>
      </c>
      <c r="M7" s="2" t="inlineStr">
        <is>
          <t>_A_collapsed</t>
        </is>
      </c>
      <c r="N7" s="2" t="inlineStr">
        <is>
          <t>_A_token</t>
        </is>
      </c>
      <c r="O7" s="2" t="inlineStr">
        <is>
          <t>_B_clean</t>
        </is>
      </c>
      <c r="P7" s="2" t="inlineStr">
        <is>
          <t>_B_collapsed</t>
        </is>
      </c>
      <c r="Q7" s="2" t="inlineStr">
        <is>
          <t>_B_token</t>
        </is>
      </c>
      <c r="R7" s="2" t="inlineStr">
        <is>
          <t>_C_clean</t>
        </is>
      </c>
      <c r="S7" s="2" t="inlineStr">
        <is>
          <t>_C_collapsed</t>
        </is>
      </c>
      <c r="T7" s="2" t="inlineStr">
        <is>
          <t>_C_token</t>
        </is>
      </c>
      <c r="U7" s="2" t="inlineStr">
        <is>
          <t>_D_clean</t>
        </is>
      </c>
      <c r="V7" s="2" t="inlineStr">
        <is>
          <t>_D_collapsed</t>
        </is>
      </c>
      <c r="W7" s="2" t="inlineStr">
        <is>
          <t>_D_token</t>
        </is>
      </c>
      <c r="X7" s="2" t="inlineStr">
        <is>
          <t>_E_clean</t>
        </is>
      </c>
      <c r="Y7" s="2" t="inlineStr">
        <is>
          <t>_E_collapsed</t>
        </is>
      </c>
      <c r="Z7" s="2" t="inlineStr">
        <is>
          <t>_E_token</t>
        </is>
      </c>
    </row>
    <row r="8">
      <c r="A8" s="1" t="inlineStr">
        <is>
          <t>Paid Search</t>
        </is>
      </c>
      <c r="B8" s="1" t="inlineStr">
        <is>
          <t>Google</t>
        </is>
      </c>
      <c r="C8" s="1" t="inlineStr">
        <is>
          <t>Brand</t>
        </is>
      </c>
      <c r="D8" s="1" t="inlineStr">
        <is>
          <t>google</t>
        </is>
      </c>
      <c r="E8" s="1" t="inlineStr">
        <is>
          <t>brand_search</t>
        </is>
      </c>
      <c r="F8" s="1" t="inlineStr"/>
      <c r="G8" s="1" t="inlineStr"/>
      <c r="H8" s="1">
        <f>IF(N8&lt;&gt;"",N8,"")&amp;IF(Q8&lt;&gt;"",IF(N8&lt;&gt;"","_"&amp;Q8,Q8),"")&amp;IF(T8&lt;&gt;"",IF(N8&lt;&gt;"","_"&amp;T8,T8),"")&amp;IF(W8&lt;&gt;"",IF(N8&lt;&gt;"","_"&amp;W8,W8),"")&amp;IF(Z8&lt;&gt;"",IF(N8&lt;&gt;"","_"&amp;Z8,Z8),"")</f>
        <v/>
      </c>
      <c r="I8" s="1">
        <f>IF(TRIM(G8)&lt;&gt;G8,TRIM(G8),IF(TRIM(G8)&lt;&gt;"",G8,H8))</f>
        <v/>
      </c>
      <c r="J8" s="1">
        <f>IF(I8="","RED: complete channel and a meaningful activity distinction",IF(COUNTIF($I$8:$I$25,I8)&gt;1,"AMBER: duplicate final ID — add the next meaningful field; do not add a random number",IF(F8&lt;&gt;"",IF(F8&lt;&gt;I8,"AMBER: existing ID differs from built ID — review lineage","OK: existing ID matches"),"OK: unique in this builder")))</f>
        <v/>
      </c>
      <c r="K8" s="1">
        <f>IF(I8="","", "activity_id="&amp;I8&amp;" | channel="&amp;A8&amp;" | platform="&amp;B8&amp;" | campaign_type="&amp;C8&amp;" | search_platform="&amp;D8&amp;" | search_intent_group_id="&amp;E8)</f>
        <v/>
      </c>
      <c r="L8" s="1">
        <f>IF(OR(LOWER(TRIM(A8))="",LOWER(TRIM(A8))="nan",LOWER(TRIM(A8))="none",LOWER(TRIM(A8)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M8" s="1">
        <f>IF(L8="","",SUBSTITUTE(SUBSTITUTE(SUBSTITUTE(SUBSTITUTE(SUBSTITUTE(SUBSTITUTE(SUBSTITUTE(SUBSTITUTE(L8,"__","_"),"__","_"),"__","_"),"__","_"),"__","_"),"__","_"),"__","_"),"__","_"))</f>
        <v/>
      </c>
      <c r="N8" s="1">
        <f>IF(OR(M8="",M8="_"),"",IF(LEFT(M8,1)="_",IF(RIGHT(M8,1)="_",MID(M8,2,LEN(M8)-2),RIGHT(M8,LEN(M8)-1)),IF(RIGHT(M8,1)="_",LEFT(M8,LEN(M8)-1),M8)))</f>
        <v/>
      </c>
      <c r="O8" s="1">
        <f>IF(OR(LOWER(TRIM(B8))="",LOWER(TRIM(B8))="nan",LOWER(TRIM(B8))="none",LOWER(TRIM(B8)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B8)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P8" s="1">
        <f>IF(O8="","",SUBSTITUTE(SUBSTITUTE(SUBSTITUTE(SUBSTITUTE(SUBSTITUTE(SUBSTITUTE(SUBSTITUTE(SUBSTITUTE(O8,"__","_"),"__","_"),"__","_"),"__","_"),"__","_"),"__","_"),"__","_"),"__","_"))</f>
        <v/>
      </c>
      <c r="Q8" s="1">
        <f>IF(OR(P8="",P8="_"),"",IF(LEFT(P8,1)="_",IF(RIGHT(P8,1)="_",MID(P8,2,LEN(P8)-2),RIGHT(P8,LEN(P8)-1)),IF(RIGHT(P8,1)="_",LEFT(P8,LEN(P8)-1),P8)))</f>
        <v/>
      </c>
      <c r="R8" s="1">
        <f>IF(OR(LOWER(TRIM(C8))="",LOWER(TRIM(C8))="nan",LOWER(TRIM(C8))="none",LOWER(TRIM(C8)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C8)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S8" s="1">
        <f>IF(R8="","",SUBSTITUTE(SUBSTITUTE(SUBSTITUTE(SUBSTITUTE(SUBSTITUTE(SUBSTITUTE(SUBSTITUTE(SUBSTITUTE(R8,"__","_"),"__","_"),"__","_"),"__","_"),"__","_"),"__","_"),"__","_"),"__","_"))</f>
        <v/>
      </c>
      <c r="T8" s="1">
        <f>IF(OR(S8="",S8="_"),"",IF(LEFT(S8,1)="_",IF(RIGHT(S8,1)="_",MID(S8,2,LEN(S8)-2),RIGHT(S8,LEN(S8)-1)),IF(RIGHT(S8,1)="_",LEFT(S8,LEN(S8)-1),S8)))</f>
        <v/>
      </c>
      <c r="U8" s="1">
        <f>IF(OR(LOWER(TRIM(D8))="",LOWER(TRIM(D8))="nan",LOWER(TRIM(D8))="none",LOWER(TRIM(D8)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D8)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V8" s="1">
        <f>IF(U8="","",SUBSTITUTE(SUBSTITUTE(SUBSTITUTE(SUBSTITUTE(SUBSTITUTE(SUBSTITUTE(SUBSTITUTE(SUBSTITUTE(U8,"__","_"),"__","_"),"__","_"),"__","_"),"__","_"),"__","_"),"__","_"),"__","_"))</f>
        <v/>
      </c>
      <c r="W8" s="1">
        <f>IF(OR(V8="",V8="_"),"",IF(LEFT(V8,1)="_",IF(RIGHT(V8,1)="_",MID(V8,2,LEN(V8)-2),RIGHT(V8,LEN(V8)-1)),IF(RIGHT(V8,1)="_",LEFT(V8,LEN(V8)-1),V8)))</f>
        <v/>
      </c>
      <c r="X8" s="1">
        <f>IF(OR(LOWER(TRIM(E8))="",LOWER(TRIM(E8))="nan",LOWER(TRIM(E8))="none",LOWER(TRIM(E8)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E8)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Y8" s="1">
        <f>IF(X8="","",SUBSTITUTE(SUBSTITUTE(SUBSTITUTE(SUBSTITUTE(SUBSTITUTE(SUBSTITUTE(SUBSTITUTE(SUBSTITUTE(X8,"__","_"),"__","_"),"__","_"),"__","_"),"__","_"),"__","_"),"__","_"),"__","_"))</f>
        <v/>
      </c>
      <c r="Z8" s="1">
        <f>IF(OR(Y8="",Y8="_"),"",IF(LEFT(Y8,1)="_",IF(RIGHT(Y8,1)="_",MID(Y8,2,LEN(Y8)-2),RIGHT(Y8,LEN(Y8)-1)),IF(RIGHT(Y8,1)="_",LEFT(Y8,LEN(Y8)-1),Y8)))</f>
        <v/>
      </c>
    </row>
    <row r="9">
      <c r="A9" s="1" t="inlineStr">
        <is>
          <t>Paid Search</t>
        </is>
      </c>
      <c r="B9" s="1" t="inlineStr">
        <is>
          <t>Bing</t>
        </is>
      </c>
      <c r="C9" s="1" t="inlineStr">
        <is>
          <t>Brand</t>
        </is>
      </c>
      <c r="D9" s="1" t="inlineStr">
        <is>
          <t>bing</t>
        </is>
      </c>
      <c r="E9" s="1" t="inlineStr">
        <is>
          <t>brand_search</t>
        </is>
      </c>
      <c r="F9" s="1" t="inlineStr"/>
      <c r="G9" s="1" t="inlineStr"/>
      <c r="H9" s="1">
        <f>IF(N9&lt;&gt;"",N9,"")&amp;IF(Q9&lt;&gt;"",IF(N9&lt;&gt;"","_"&amp;Q9,Q9),"")&amp;IF(T9&lt;&gt;"",IF(N9&lt;&gt;"","_"&amp;T9,T9),"")&amp;IF(W9&lt;&gt;"",IF(N9&lt;&gt;"","_"&amp;W9,W9),"")&amp;IF(Z9&lt;&gt;"",IF(N9&lt;&gt;"","_"&amp;Z9,Z9),"")</f>
        <v/>
      </c>
      <c r="I9" s="1">
        <f>IF(TRIM(G9)&lt;&gt;G9,TRIM(G9),IF(TRIM(G9)&lt;&gt;"",G9,H9))</f>
        <v/>
      </c>
      <c r="J9" s="1">
        <f>IF(I9="","RED: complete channel and a meaningful activity distinction",IF(COUNTIF($I$8:$I$25,I9)&gt;1,"AMBER: duplicate final ID — add the next meaningful field; do not add a random number",IF(F9&lt;&gt;"",IF(F9&lt;&gt;I9,"AMBER: existing ID differs from built ID — review lineage","OK: existing ID matches"),"OK: unique in this builder")))</f>
        <v/>
      </c>
      <c r="K9" s="1">
        <f>IF(I9="","", "activity_id="&amp;I9&amp;" | channel="&amp;A9&amp;" | platform="&amp;B9&amp;" | campaign_type="&amp;C9&amp;" | search_platform="&amp;D9&amp;" | search_intent_group_id="&amp;E9)</f>
        <v/>
      </c>
      <c r="L9" s="1">
        <f>IF(OR(LOWER(TRIM(A9))="",LOWER(TRIM(A9))="nan",LOWER(TRIM(A9))="none",LOWER(TRIM(A9)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M9" s="1">
        <f>IF(L9="","",SUBSTITUTE(SUBSTITUTE(SUBSTITUTE(SUBSTITUTE(SUBSTITUTE(SUBSTITUTE(SUBSTITUTE(SUBSTITUTE(L9,"__","_"),"__","_"),"__","_"),"__","_"),"__","_"),"__","_"),"__","_"),"__","_"))</f>
        <v/>
      </c>
      <c r="N9" s="1">
        <f>IF(OR(M9="",M9="_"),"",IF(LEFT(M9,1)="_",IF(RIGHT(M9,1)="_",MID(M9,2,LEN(M9)-2),RIGHT(M9,LEN(M9)-1)),IF(RIGHT(M9,1)="_",LEFT(M9,LEN(M9)-1),M9)))</f>
        <v/>
      </c>
      <c r="O9" s="1">
        <f>IF(OR(LOWER(TRIM(B9))="",LOWER(TRIM(B9))="nan",LOWER(TRIM(B9))="none",LOWER(TRIM(B9)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B9)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P9" s="1">
        <f>IF(O9="","",SUBSTITUTE(SUBSTITUTE(SUBSTITUTE(SUBSTITUTE(SUBSTITUTE(SUBSTITUTE(SUBSTITUTE(SUBSTITUTE(O9,"__","_"),"__","_"),"__","_"),"__","_"),"__","_"),"__","_"),"__","_"),"__","_"))</f>
        <v/>
      </c>
      <c r="Q9" s="1">
        <f>IF(OR(P9="",P9="_"),"",IF(LEFT(P9,1)="_",IF(RIGHT(P9,1)="_",MID(P9,2,LEN(P9)-2),RIGHT(P9,LEN(P9)-1)),IF(RIGHT(P9,1)="_",LEFT(P9,LEN(P9)-1),P9)))</f>
        <v/>
      </c>
      <c r="R9" s="1">
        <f>IF(OR(LOWER(TRIM(C9))="",LOWER(TRIM(C9))="nan",LOWER(TRIM(C9))="none",LOWER(TRIM(C9)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C9)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S9" s="1">
        <f>IF(R9="","",SUBSTITUTE(SUBSTITUTE(SUBSTITUTE(SUBSTITUTE(SUBSTITUTE(SUBSTITUTE(SUBSTITUTE(SUBSTITUTE(R9,"__","_"),"__","_"),"__","_"),"__","_"),"__","_"),"__","_"),"__","_"),"__","_"))</f>
        <v/>
      </c>
      <c r="T9" s="1">
        <f>IF(OR(S9="",S9="_"),"",IF(LEFT(S9,1)="_",IF(RIGHT(S9,1)="_",MID(S9,2,LEN(S9)-2),RIGHT(S9,LEN(S9)-1)),IF(RIGHT(S9,1)="_",LEFT(S9,LEN(S9)-1),S9)))</f>
        <v/>
      </c>
      <c r="U9" s="1">
        <f>IF(OR(LOWER(TRIM(D9))="",LOWER(TRIM(D9))="nan",LOWER(TRIM(D9))="none",LOWER(TRIM(D9)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D9)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V9" s="1">
        <f>IF(U9="","",SUBSTITUTE(SUBSTITUTE(SUBSTITUTE(SUBSTITUTE(SUBSTITUTE(SUBSTITUTE(SUBSTITUTE(SUBSTITUTE(U9,"__","_"),"__","_"),"__","_"),"__","_"),"__","_"),"__","_"),"__","_"),"__","_"))</f>
        <v/>
      </c>
      <c r="W9" s="1">
        <f>IF(OR(V9="",V9="_"),"",IF(LEFT(V9,1)="_",IF(RIGHT(V9,1)="_",MID(V9,2,LEN(V9)-2),RIGHT(V9,LEN(V9)-1)),IF(RIGHT(V9,1)="_",LEFT(V9,LEN(V9)-1),V9)))</f>
        <v/>
      </c>
      <c r="X9" s="1">
        <f>IF(OR(LOWER(TRIM(E9))="",LOWER(TRIM(E9))="nan",LOWER(TRIM(E9))="none",LOWER(TRIM(E9)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E9)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Y9" s="1">
        <f>IF(X9="","",SUBSTITUTE(SUBSTITUTE(SUBSTITUTE(SUBSTITUTE(SUBSTITUTE(SUBSTITUTE(SUBSTITUTE(SUBSTITUTE(X9,"__","_"),"__","_"),"__","_"),"__","_"),"__","_"),"__","_"),"__","_"),"__","_"))</f>
        <v/>
      </c>
      <c r="Z9" s="1">
        <f>IF(OR(Y9="",Y9="_"),"",IF(LEFT(Y9,1)="_",IF(RIGHT(Y9,1)="_",MID(Y9,2,LEN(Y9)-2),RIGHT(Y9,LEN(Y9)-1)),IF(RIGHT(Y9,1)="_",LEFT(Y9,LEN(Y9)-1),Y9)))</f>
        <v/>
      </c>
    </row>
    <row r="10">
      <c r="A10" s="1" t="inlineStr">
        <is>
          <t>Paid Search</t>
        </is>
      </c>
      <c r="B10" s="1" t="inlineStr">
        <is>
          <t>Google</t>
        </is>
      </c>
      <c r="C10" s="1" t="inlineStr">
        <is>
          <t>Non-Brand</t>
        </is>
      </c>
      <c r="D10" s="1" t="inlineStr">
        <is>
          <t>google</t>
        </is>
      </c>
      <c r="E10" s="1" t="inlineStr">
        <is>
          <t>non_brand_search</t>
        </is>
      </c>
      <c r="F10" s="1" t="inlineStr"/>
      <c r="G10" s="1" t="inlineStr"/>
      <c r="H10" s="1">
        <f>IF(N10&lt;&gt;"",N10,"")&amp;IF(Q10&lt;&gt;"",IF(N10&lt;&gt;"","_"&amp;Q10,Q10),"")&amp;IF(T10&lt;&gt;"",IF(N10&lt;&gt;"","_"&amp;T10,T10),"")&amp;IF(W10&lt;&gt;"",IF(N10&lt;&gt;"","_"&amp;W10,W10),"")&amp;IF(Z10&lt;&gt;"",IF(N10&lt;&gt;"","_"&amp;Z10,Z10),"")</f>
        <v/>
      </c>
      <c r="I10" s="1">
        <f>IF(TRIM(G10)&lt;&gt;G10,TRIM(G10),IF(TRIM(G10)&lt;&gt;"",G10,H10))</f>
        <v/>
      </c>
      <c r="J10" s="1">
        <f>IF(I10="","RED: complete channel and a meaningful activity distinction",IF(COUNTIF($I$8:$I$25,I10)&gt;1,"AMBER: duplicate final ID — add the next meaningful field; do not add a random number",IF(F10&lt;&gt;"",IF(F10&lt;&gt;I10,"AMBER: existing ID differs from built ID — review lineage","OK: existing ID matches"),"OK: unique in this builder")))</f>
        <v/>
      </c>
      <c r="K10" s="1">
        <f>IF(I10="","", "activity_id="&amp;I10&amp;" | channel="&amp;A10&amp;" | platform="&amp;B10&amp;" | campaign_type="&amp;C10&amp;" | search_platform="&amp;D10&amp;" | search_intent_group_id="&amp;E10)</f>
        <v/>
      </c>
      <c r="L10" s="1">
        <f>IF(OR(LOWER(TRIM(A10))="",LOWER(TRIM(A10))="nan",LOWER(TRIM(A10))="none",LOWER(TRIM(A10)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10)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M10" s="1">
        <f>IF(L10="","",SUBSTITUTE(SUBSTITUTE(SUBSTITUTE(SUBSTITUTE(SUBSTITUTE(SUBSTITUTE(SUBSTITUTE(SUBSTITUTE(L10,"__","_"),"__","_"),"__","_"),"__","_"),"__","_"),"__","_"),"__","_"),"__","_"))</f>
        <v/>
      </c>
      <c r="N10" s="1">
        <f>IF(OR(M10="",M10="_"),"",IF(LEFT(M10,1)="_",IF(RIGHT(M10,1)="_",MID(M10,2,LEN(M10)-2),RIGHT(M10,LEN(M10)-1)),IF(RIGHT(M10,1)="_",LEFT(M10,LEN(M10)-1),M10)))</f>
        <v/>
      </c>
      <c r="O10" s="1">
        <f>IF(OR(LOWER(TRIM(B10))="",LOWER(TRIM(B10))="nan",LOWER(TRIM(B10))="none",LOWER(TRIM(B10)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B10)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P10" s="1">
        <f>IF(O10="","",SUBSTITUTE(SUBSTITUTE(SUBSTITUTE(SUBSTITUTE(SUBSTITUTE(SUBSTITUTE(SUBSTITUTE(SUBSTITUTE(O10,"__","_"),"__","_"),"__","_"),"__","_"),"__","_"),"__","_"),"__","_"),"__","_"))</f>
        <v/>
      </c>
      <c r="Q10" s="1">
        <f>IF(OR(P10="",P10="_"),"",IF(LEFT(P10,1)="_",IF(RIGHT(P10,1)="_",MID(P10,2,LEN(P10)-2),RIGHT(P10,LEN(P10)-1)),IF(RIGHT(P10,1)="_",LEFT(P10,LEN(P10)-1),P10)))</f>
        <v/>
      </c>
      <c r="R10" s="1">
        <f>IF(OR(LOWER(TRIM(C10))="",LOWER(TRIM(C10))="nan",LOWER(TRIM(C10))="none",LOWER(TRIM(C10)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C10)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S10" s="1">
        <f>IF(R10="","",SUBSTITUTE(SUBSTITUTE(SUBSTITUTE(SUBSTITUTE(SUBSTITUTE(SUBSTITUTE(SUBSTITUTE(SUBSTITUTE(R10,"__","_"),"__","_"),"__","_"),"__","_"),"__","_"),"__","_"),"__","_"),"__","_"))</f>
        <v/>
      </c>
      <c r="T10" s="1">
        <f>IF(OR(S10="",S10="_"),"",IF(LEFT(S10,1)="_",IF(RIGHT(S10,1)="_",MID(S10,2,LEN(S10)-2),RIGHT(S10,LEN(S10)-1)),IF(RIGHT(S10,1)="_",LEFT(S10,LEN(S10)-1),S10)))</f>
        <v/>
      </c>
      <c r="U10" s="1">
        <f>IF(OR(LOWER(TRIM(D10))="",LOWER(TRIM(D10))="nan",LOWER(TRIM(D10))="none",LOWER(TRIM(D10)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D10)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V10" s="1">
        <f>IF(U10="","",SUBSTITUTE(SUBSTITUTE(SUBSTITUTE(SUBSTITUTE(SUBSTITUTE(SUBSTITUTE(SUBSTITUTE(SUBSTITUTE(U10,"__","_"),"__","_"),"__","_"),"__","_"),"__","_"),"__","_"),"__","_"),"__","_"))</f>
        <v/>
      </c>
      <c r="W10" s="1">
        <f>IF(OR(V10="",V10="_"),"",IF(LEFT(V10,1)="_",IF(RIGHT(V10,1)="_",MID(V10,2,LEN(V10)-2),RIGHT(V10,LEN(V10)-1)),IF(RIGHT(V10,1)="_",LEFT(V10,LEN(V10)-1),V10)))</f>
        <v/>
      </c>
      <c r="X10" s="1">
        <f>IF(OR(LOWER(TRIM(E10))="",LOWER(TRIM(E10))="nan",LOWER(TRIM(E10))="none",LOWER(TRIM(E10)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E10)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Y10" s="1">
        <f>IF(X10="","",SUBSTITUTE(SUBSTITUTE(SUBSTITUTE(SUBSTITUTE(SUBSTITUTE(SUBSTITUTE(SUBSTITUTE(SUBSTITUTE(X10,"__","_"),"__","_"),"__","_"),"__","_"),"__","_"),"__","_"),"__","_"),"__","_"))</f>
        <v/>
      </c>
      <c r="Z10" s="1">
        <f>IF(OR(Y10="",Y10="_"),"",IF(LEFT(Y10,1)="_",IF(RIGHT(Y10,1)="_",MID(Y10,2,LEN(Y10)-2),RIGHT(Y10,LEN(Y10)-1)),IF(RIGHT(Y10,1)="_",LEFT(Y10,LEN(Y10)-1),Y10)))</f>
        <v/>
      </c>
    </row>
    <row r="11">
      <c r="A11" s="1" t="inlineStr">
        <is>
          <t>Paid Search</t>
        </is>
      </c>
      <c r="B11" s="1" t="inlineStr">
        <is>
          <t>Bing</t>
        </is>
      </c>
      <c r="C11" s="1" t="inlineStr">
        <is>
          <t>Non-Brand</t>
        </is>
      </c>
      <c r="D11" s="1" t="inlineStr">
        <is>
          <t>bing</t>
        </is>
      </c>
      <c r="E11" s="1" t="inlineStr">
        <is>
          <t>non_brand_search</t>
        </is>
      </c>
      <c r="F11" s="1" t="inlineStr"/>
      <c r="G11" s="1" t="inlineStr"/>
      <c r="H11" s="1">
        <f>IF(N11&lt;&gt;"",N11,"")&amp;IF(Q11&lt;&gt;"",IF(N11&lt;&gt;"","_"&amp;Q11,Q11),"")&amp;IF(T11&lt;&gt;"",IF(N11&lt;&gt;"","_"&amp;T11,T11),"")&amp;IF(W11&lt;&gt;"",IF(N11&lt;&gt;"","_"&amp;W11,W11),"")&amp;IF(Z11&lt;&gt;"",IF(N11&lt;&gt;"","_"&amp;Z11,Z11),"")</f>
        <v/>
      </c>
      <c r="I11" s="1">
        <f>IF(TRIM(G11)&lt;&gt;G11,TRIM(G11),IF(TRIM(G11)&lt;&gt;"",G11,H11))</f>
        <v/>
      </c>
      <c r="J11" s="1">
        <f>IF(I11="","RED: complete channel and a meaningful activity distinction",IF(COUNTIF($I$8:$I$25,I11)&gt;1,"AMBER: duplicate final ID — add the next meaningful field; do not add a random number",IF(F11&lt;&gt;"",IF(F11&lt;&gt;I11,"AMBER: existing ID differs from built ID — review lineage","OK: existing ID matches"),"OK: unique in this builder")))</f>
        <v/>
      </c>
      <c r="K11" s="1">
        <f>IF(I11="","", "activity_id="&amp;I11&amp;" | channel="&amp;A11&amp;" | platform="&amp;B11&amp;" | campaign_type="&amp;C11&amp;" | search_platform="&amp;D11&amp;" | search_intent_group_id="&amp;E11)</f>
        <v/>
      </c>
      <c r="L11" s="1">
        <f>IF(OR(LOWER(TRIM(A11))="",LOWER(TRIM(A11))="nan",LOWER(TRIM(A11))="none",LOWER(TRIM(A11)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11)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M11" s="1">
        <f>IF(L11="","",SUBSTITUTE(SUBSTITUTE(SUBSTITUTE(SUBSTITUTE(SUBSTITUTE(SUBSTITUTE(SUBSTITUTE(SUBSTITUTE(L11,"__","_"),"__","_"),"__","_"),"__","_"),"__","_"),"__","_"),"__","_"),"__","_"))</f>
        <v/>
      </c>
      <c r="N11" s="1">
        <f>IF(OR(M11="",M11="_"),"",IF(LEFT(M11,1)="_",IF(RIGHT(M11,1)="_",MID(M11,2,LEN(M11)-2),RIGHT(M11,LEN(M11)-1)),IF(RIGHT(M11,1)="_",LEFT(M11,LEN(M11)-1),M11)))</f>
        <v/>
      </c>
      <c r="O11" s="1">
        <f>IF(OR(LOWER(TRIM(B11))="",LOWER(TRIM(B11))="nan",LOWER(TRIM(B11))="none",LOWER(TRIM(B11)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B11)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P11" s="1">
        <f>IF(O11="","",SUBSTITUTE(SUBSTITUTE(SUBSTITUTE(SUBSTITUTE(SUBSTITUTE(SUBSTITUTE(SUBSTITUTE(SUBSTITUTE(O11,"__","_"),"__","_"),"__","_"),"__","_"),"__","_"),"__","_"),"__","_"),"__","_"))</f>
        <v/>
      </c>
      <c r="Q11" s="1">
        <f>IF(OR(P11="",P11="_"),"",IF(LEFT(P11,1)="_",IF(RIGHT(P11,1)="_",MID(P11,2,LEN(P11)-2),RIGHT(P11,LEN(P11)-1)),IF(RIGHT(P11,1)="_",LEFT(P11,LEN(P11)-1),P11)))</f>
        <v/>
      </c>
      <c r="R11" s="1">
        <f>IF(OR(LOWER(TRIM(C11))="",LOWER(TRIM(C11))="nan",LOWER(TRIM(C11))="none",LOWER(TRIM(C11)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C11)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S11" s="1">
        <f>IF(R11="","",SUBSTITUTE(SUBSTITUTE(SUBSTITUTE(SUBSTITUTE(SUBSTITUTE(SUBSTITUTE(SUBSTITUTE(SUBSTITUTE(R11,"__","_"),"__","_"),"__","_"),"__","_"),"__","_"),"__","_"),"__","_"),"__","_"))</f>
        <v/>
      </c>
      <c r="T11" s="1">
        <f>IF(OR(S11="",S11="_"),"",IF(LEFT(S11,1)="_",IF(RIGHT(S11,1)="_",MID(S11,2,LEN(S11)-2),RIGHT(S11,LEN(S11)-1)),IF(RIGHT(S11,1)="_",LEFT(S11,LEN(S11)-1),S11)))</f>
        <v/>
      </c>
      <c r="U11" s="1">
        <f>IF(OR(LOWER(TRIM(D11))="",LOWER(TRIM(D11))="nan",LOWER(TRIM(D11))="none",LOWER(TRIM(D11)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D11)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V11" s="1">
        <f>IF(U11="","",SUBSTITUTE(SUBSTITUTE(SUBSTITUTE(SUBSTITUTE(SUBSTITUTE(SUBSTITUTE(SUBSTITUTE(SUBSTITUTE(U11,"__","_"),"__","_"),"__","_"),"__","_"),"__","_"),"__","_"),"__","_"),"__","_"))</f>
        <v/>
      </c>
      <c r="W11" s="1">
        <f>IF(OR(V11="",V11="_"),"",IF(LEFT(V11,1)="_",IF(RIGHT(V11,1)="_",MID(V11,2,LEN(V11)-2),RIGHT(V11,LEN(V11)-1)),IF(RIGHT(V11,1)="_",LEFT(V11,LEN(V11)-1),V11)))</f>
        <v/>
      </c>
      <c r="X11" s="1">
        <f>IF(OR(LOWER(TRIM(E11))="",LOWER(TRIM(E11))="nan",LOWER(TRIM(E11))="none",LOWER(TRIM(E11)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E11)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Y11" s="1">
        <f>IF(X11="","",SUBSTITUTE(SUBSTITUTE(SUBSTITUTE(SUBSTITUTE(SUBSTITUTE(SUBSTITUTE(SUBSTITUTE(SUBSTITUTE(X11,"__","_"),"__","_"),"__","_"),"__","_"),"__","_"),"__","_"),"__","_"),"__","_"))</f>
        <v/>
      </c>
      <c r="Z11" s="1">
        <f>IF(OR(Y11="",Y11="_"),"",IF(LEFT(Y11,1)="_",IF(RIGHT(Y11,1)="_",MID(Y11,2,LEN(Y11)-2),RIGHT(Y11,LEN(Y11)-1)),IF(RIGHT(Y11,1)="_",LEFT(Y11,LEN(Y11)-1),Y11)))</f>
        <v/>
      </c>
    </row>
    <row r="12">
      <c r="A12" s="1" t="inlineStr">
        <is>
          <t>TV</t>
        </is>
      </c>
      <c r="B12" s="1" t="inlineStr">
        <is>
          <t>Example broadcaster</t>
        </is>
      </c>
      <c r="C12" s="1" t="inlineStr">
        <is>
          <t>Brand</t>
        </is>
      </c>
      <c r="D12" s="1" t="inlineStr"/>
      <c r="E12" s="1" t="inlineStr"/>
      <c r="F12" s="1" t="inlineStr"/>
      <c r="G12" s="1" t="inlineStr"/>
      <c r="H12" s="1">
        <f>IF(N12&lt;&gt;"",N12,"")&amp;IF(Q12&lt;&gt;"",IF(N12&lt;&gt;"","_"&amp;Q12,Q12),"")&amp;IF(T12&lt;&gt;"",IF(N12&lt;&gt;"","_"&amp;T12,T12),"")&amp;IF(W12&lt;&gt;"",IF(N12&lt;&gt;"","_"&amp;W12,W12),"")&amp;IF(Z12&lt;&gt;"",IF(N12&lt;&gt;"","_"&amp;Z12,Z12),"")</f>
        <v/>
      </c>
      <c r="I12" s="1">
        <f>IF(TRIM(G12)&lt;&gt;G12,TRIM(G12),IF(TRIM(G12)&lt;&gt;"",G12,H12))</f>
        <v/>
      </c>
      <c r="J12" s="1">
        <f>IF(I12="","RED: complete channel and a meaningful activity distinction",IF(COUNTIF($I$8:$I$25,I12)&gt;1,"AMBER: duplicate final ID — add the next meaningful field; do not add a random number",IF(F12&lt;&gt;"",IF(F12&lt;&gt;I12,"AMBER: existing ID differs from built ID — review lineage","OK: existing ID matches"),"OK: unique in this builder")))</f>
        <v/>
      </c>
      <c r="K12" s="1">
        <f>IF(I12="","", "activity_id="&amp;I12&amp;" | channel="&amp;A12&amp;" | platform="&amp;B12&amp;" | campaign_type="&amp;C12&amp;" | search_platform="&amp;D12&amp;" | search_intent_group_id="&amp;E12)</f>
        <v/>
      </c>
      <c r="L12" s="1">
        <f>IF(OR(LOWER(TRIM(A12))="",LOWER(TRIM(A12))="nan",LOWER(TRIM(A12))="none",LOWER(TRIM(A12)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12)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M12" s="1">
        <f>IF(L12="","",SUBSTITUTE(SUBSTITUTE(SUBSTITUTE(SUBSTITUTE(SUBSTITUTE(SUBSTITUTE(SUBSTITUTE(SUBSTITUTE(L12,"__","_"),"__","_"),"__","_"),"__","_"),"__","_"),"__","_"),"__","_"),"__","_"))</f>
        <v/>
      </c>
      <c r="N12" s="1">
        <f>IF(OR(M12="",M12="_"),"",IF(LEFT(M12,1)="_",IF(RIGHT(M12,1)="_",MID(M12,2,LEN(M12)-2),RIGHT(M12,LEN(M12)-1)),IF(RIGHT(M12,1)="_",LEFT(M12,LEN(M12)-1),M12)))</f>
        <v/>
      </c>
      <c r="O12" s="1">
        <f>IF(OR(LOWER(TRIM(B12))="",LOWER(TRIM(B12))="nan",LOWER(TRIM(B12))="none",LOWER(TRIM(B12)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B12)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P12" s="1">
        <f>IF(O12="","",SUBSTITUTE(SUBSTITUTE(SUBSTITUTE(SUBSTITUTE(SUBSTITUTE(SUBSTITUTE(SUBSTITUTE(SUBSTITUTE(O12,"__","_"),"__","_"),"__","_"),"__","_"),"__","_"),"__","_"),"__","_"),"__","_"))</f>
        <v/>
      </c>
      <c r="Q12" s="1">
        <f>IF(OR(P12="",P12="_"),"",IF(LEFT(P12,1)="_",IF(RIGHT(P12,1)="_",MID(P12,2,LEN(P12)-2),RIGHT(P12,LEN(P12)-1)),IF(RIGHT(P12,1)="_",LEFT(P12,LEN(P12)-1),P12)))</f>
        <v/>
      </c>
      <c r="R12" s="1">
        <f>IF(OR(LOWER(TRIM(C12))="",LOWER(TRIM(C12))="nan",LOWER(TRIM(C12))="none",LOWER(TRIM(C12)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C12)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S12" s="1">
        <f>IF(R12="","",SUBSTITUTE(SUBSTITUTE(SUBSTITUTE(SUBSTITUTE(SUBSTITUTE(SUBSTITUTE(SUBSTITUTE(SUBSTITUTE(R12,"__","_"),"__","_"),"__","_"),"__","_"),"__","_"),"__","_"),"__","_"),"__","_"))</f>
        <v/>
      </c>
      <c r="T12" s="1">
        <f>IF(OR(S12="",S12="_"),"",IF(LEFT(S12,1)="_",IF(RIGHT(S12,1)="_",MID(S12,2,LEN(S12)-2),RIGHT(S12,LEN(S12)-1)),IF(RIGHT(S12,1)="_",LEFT(S12,LEN(S12)-1),S12)))</f>
        <v/>
      </c>
      <c r="U12" s="1">
        <f>IF(OR(LOWER(TRIM(D12))="",LOWER(TRIM(D12))="nan",LOWER(TRIM(D12))="none",LOWER(TRIM(D12)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D12)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V12" s="1">
        <f>IF(U12="","",SUBSTITUTE(SUBSTITUTE(SUBSTITUTE(SUBSTITUTE(SUBSTITUTE(SUBSTITUTE(SUBSTITUTE(SUBSTITUTE(U12,"__","_"),"__","_"),"__","_"),"__","_"),"__","_"),"__","_"),"__","_"),"__","_"))</f>
        <v/>
      </c>
      <c r="W12" s="1">
        <f>IF(OR(V12="",V12="_"),"",IF(LEFT(V12,1)="_",IF(RIGHT(V12,1)="_",MID(V12,2,LEN(V12)-2),RIGHT(V12,LEN(V12)-1)),IF(RIGHT(V12,1)="_",LEFT(V12,LEN(V12)-1),V12)))</f>
        <v/>
      </c>
      <c r="X12" s="1">
        <f>IF(OR(LOWER(TRIM(E12))="",LOWER(TRIM(E12))="nan",LOWER(TRIM(E12))="none",LOWER(TRIM(E12)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E12)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Y12" s="1">
        <f>IF(X12="","",SUBSTITUTE(SUBSTITUTE(SUBSTITUTE(SUBSTITUTE(SUBSTITUTE(SUBSTITUTE(SUBSTITUTE(SUBSTITUTE(X12,"__","_"),"__","_"),"__","_"),"__","_"),"__","_"),"__","_"),"__","_"),"__","_"))</f>
        <v/>
      </c>
      <c r="Z12" s="1">
        <f>IF(OR(Y12="",Y12="_"),"",IF(LEFT(Y12,1)="_",IF(RIGHT(Y12,1)="_",MID(Y12,2,LEN(Y12)-2),RIGHT(Y12,LEN(Y12)-1)),IF(RIGHT(Y12,1)="_",LEFT(Y12,LEN(Y12)-1),Y12)))</f>
        <v/>
      </c>
    </row>
    <row r="13">
      <c r="A13" s="1" t="inlineStr">
        <is>
          <t>SEO</t>
        </is>
      </c>
      <c r="B13" s="1" t="inlineStr">
        <is>
          <t>Google Search Console</t>
        </is>
      </c>
      <c r="C13" s="1" t="inlineStr">
        <is>
          <t>Visibility</t>
        </is>
      </c>
      <c r="D13" s="1" t="inlineStr"/>
      <c r="E13" s="1" t="inlineStr"/>
      <c r="F13" s="1" t="inlineStr"/>
      <c r="G13" s="1" t="inlineStr"/>
      <c r="H13" s="1">
        <f>IF(N13&lt;&gt;"",N13,"")&amp;IF(Q13&lt;&gt;"",IF(N13&lt;&gt;"","_"&amp;Q13,Q13),"")&amp;IF(T13&lt;&gt;"",IF(N13&lt;&gt;"","_"&amp;T13,T13),"")&amp;IF(W13&lt;&gt;"",IF(N13&lt;&gt;"","_"&amp;W13,W13),"")&amp;IF(Z13&lt;&gt;"",IF(N13&lt;&gt;"","_"&amp;Z13,Z13),"")</f>
        <v/>
      </c>
      <c r="I13" s="1">
        <f>IF(TRIM(G13)&lt;&gt;G13,TRIM(G13),IF(TRIM(G13)&lt;&gt;"",G13,H13))</f>
        <v/>
      </c>
      <c r="J13" s="1">
        <f>IF(I13="","RED: complete channel and a meaningful activity distinction",IF(COUNTIF($I$8:$I$25,I13)&gt;1,"AMBER: duplicate final ID — add the next meaningful field; do not add a random number",IF(F13&lt;&gt;"",IF(F13&lt;&gt;I13,"AMBER: existing ID differs from built ID — review lineage","OK: existing ID matches"),"OK: unique in this builder")))</f>
        <v/>
      </c>
      <c r="K13" s="1">
        <f>IF(I13="","", "activity_id="&amp;I13&amp;" | channel="&amp;A13&amp;" | platform="&amp;B13&amp;" | campaign_type="&amp;C13&amp;" | search_platform="&amp;D13&amp;" | search_intent_group_id="&amp;E13)</f>
        <v/>
      </c>
      <c r="L13" s="1">
        <f>IF(OR(LOWER(TRIM(A13))="",LOWER(TRIM(A13))="nan",LOWER(TRIM(A13))="none",LOWER(TRIM(A13)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13)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M13" s="1">
        <f>IF(L13="","",SUBSTITUTE(SUBSTITUTE(SUBSTITUTE(SUBSTITUTE(SUBSTITUTE(SUBSTITUTE(SUBSTITUTE(SUBSTITUTE(L13,"__","_"),"__","_"),"__","_"),"__","_"),"__","_"),"__","_"),"__","_"),"__","_"))</f>
        <v/>
      </c>
      <c r="N13" s="1">
        <f>IF(OR(M13="",M13="_"),"",IF(LEFT(M13,1)="_",IF(RIGHT(M13,1)="_",MID(M13,2,LEN(M13)-2),RIGHT(M13,LEN(M13)-1)),IF(RIGHT(M13,1)="_",LEFT(M13,LEN(M13)-1),M13)))</f>
        <v/>
      </c>
      <c r="O13" s="1">
        <f>IF(OR(LOWER(TRIM(B13))="",LOWER(TRIM(B13))="nan",LOWER(TRIM(B13))="none",LOWER(TRIM(B13)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B13)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P13" s="1">
        <f>IF(O13="","",SUBSTITUTE(SUBSTITUTE(SUBSTITUTE(SUBSTITUTE(SUBSTITUTE(SUBSTITUTE(SUBSTITUTE(SUBSTITUTE(O13,"__","_"),"__","_"),"__","_"),"__","_"),"__","_"),"__","_"),"__","_"),"__","_"))</f>
        <v/>
      </c>
      <c r="Q13" s="1">
        <f>IF(OR(P13="",P13="_"),"",IF(LEFT(P13,1)="_",IF(RIGHT(P13,1)="_",MID(P13,2,LEN(P13)-2),RIGHT(P13,LEN(P13)-1)),IF(RIGHT(P13,1)="_",LEFT(P13,LEN(P13)-1),P13)))</f>
        <v/>
      </c>
      <c r="R13" s="1">
        <f>IF(OR(LOWER(TRIM(C13))="",LOWER(TRIM(C13))="nan",LOWER(TRIM(C13))="none",LOWER(TRIM(C13)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C13)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S13" s="1">
        <f>IF(R13="","",SUBSTITUTE(SUBSTITUTE(SUBSTITUTE(SUBSTITUTE(SUBSTITUTE(SUBSTITUTE(SUBSTITUTE(SUBSTITUTE(R13,"__","_"),"__","_"),"__","_"),"__","_"),"__","_"),"__","_"),"__","_"),"__","_"))</f>
        <v/>
      </c>
      <c r="T13" s="1">
        <f>IF(OR(S13="",S13="_"),"",IF(LEFT(S13,1)="_",IF(RIGHT(S13,1)="_",MID(S13,2,LEN(S13)-2),RIGHT(S13,LEN(S13)-1)),IF(RIGHT(S13,1)="_",LEFT(S13,LEN(S13)-1),S13)))</f>
        <v/>
      </c>
      <c r="U13" s="1">
        <f>IF(OR(LOWER(TRIM(D13))="",LOWER(TRIM(D13))="nan",LOWER(TRIM(D13))="none",LOWER(TRIM(D13)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D13)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V13" s="1">
        <f>IF(U13="","",SUBSTITUTE(SUBSTITUTE(SUBSTITUTE(SUBSTITUTE(SUBSTITUTE(SUBSTITUTE(SUBSTITUTE(SUBSTITUTE(U13,"__","_"),"__","_"),"__","_"),"__","_"),"__","_"),"__","_"),"__","_"),"__","_"))</f>
        <v/>
      </c>
      <c r="W13" s="1">
        <f>IF(OR(V13="",V13="_"),"",IF(LEFT(V13,1)="_",IF(RIGHT(V13,1)="_",MID(V13,2,LEN(V13)-2),RIGHT(V13,LEN(V13)-1)),IF(RIGHT(V13,1)="_",LEFT(V13,LEN(V13)-1),V13)))</f>
        <v/>
      </c>
      <c r="X13" s="1">
        <f>IF(OR(LOWER(TRIM(E13))="",LOWER(TRIM(E13))="nan",LOWER(TRIM(E13))="none",LOWER(TRIM(E13)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E13)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Y13" s="1">
        <f>IF(X13="","",SUBSTITUTE(SUBSTITUTE(SUBSTITUTE(SUBSTITUTE(SUBSTITUTE(SUBSTITUTE(SUBSTITUTE(SUBSTITUTE(X13,"__","_"),"__","_"),"__","_"),"__","_"),"__","_"),"__","_"),"__","_"),"__","_"))</f>
        <v/>
      </c>
      <c r="Z13" s="1">
        <f>IF(OR(Y13="",Y13="_"),"",IF(LEFT(Y13,1)="_",IF(RIGHT(Y13,1)="_",MID(Y13,2,LEN(Y13)-2),RIGHT(Y13,LEN(Y13)-1)),IF(RIGHT(Y13,1)="_",LEFT(Y13,LEN(Y13)-1),Y13)))</f>
        <v/>
      </c>
    </row>
    <row r="14">
      <c r="A14" s="1" t="inlineStr"/>
      <c r="B14" s="1" t="inlineStr"/>
      <c r="C14" s="1" t="inlineStr"/>
      <c r="D14" s="1" t="inlineStr"/>
      <c r="E14" s="1" t="inlineStr"/>
      <c r="F14" s="1" t="inlineStr"/>
      <c r="G14" s="1" t="inlineStr"/>
      <c r="H14" s="1">
        <f>IF(N14&lt;&gt;"",N14,"")&amp;IF(Q14&lt;&gt;"",IF(N14&lt;&gt;"","_"&amp;Q14,Q14),"")&amp;IF(T14&lt;&gt;"",IF(N14&lt;&gt;"","_"&amp;T14,T14),"")&amp;IF(W14&lt;&gt;"",IF(N14&lt;&gt;"","_"&amp;W14,W14),"")&amp;IF(Z14&lt;&gt;"",IF(N14&lt;&gt;"","_"&amp;Z14,Z14),"")</f>
        <v/>
      </c>
      <c r="I14" s="1">
        <f>IF(TRIM(G14)&lt;&gt;G14,TRIM(G14),IF(TRIM(G14)&lt;&gt;"",G14,H14))</f>
        <v/>
      </c>
      <c r="J14" s="1">
        <f>IF(I14="","RED: complete channel and a meaningful activity distinction",IF(COUNTIF($I$8:$I$25,I14)&gt;1,"AMBER: duplicate final ID — add the next meaningful field; do not add a random number",IF(F14&lt;&gt;"",IF(F14&lt;&gt;I14,"AMBER: existing ID differs from built ID — review lineage","OK: existing ID matches"),"OK: unique in this builder")))</f>
        <v/>
      </c>
      <c r="K14" s="1">
        <f>IF(I14="","", "activity_id="&amp;I14&amp;" | channel="&amp;A14&amp;" | platform="&amp;B14&amp;" | campaign_type="&amp;C14&amp;" | search_platform="&amp;D14&amp;" | search_intent_group_id="&amp;E14)</f>
        <v/>
      </c>
      <c r="L14" s="1">
        <f>IF(OR(LOWER(TRIM(A14))="",LOWER(TRIM(A14))="nan",LOWER(TRIM(A14))="none",LOWER(TRIM(A14)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14)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M14" s="1">
        <f>IF(L14="","",SUBSTITUTE(SUBSTITUTE(SUBSTITUTE(SUBSTITUTE(SUBSTITUTE(SUBSTITUTE(SUBSTITUTE(SUBSTITUTE(L14,"__","_"),"__","_"),"__","_"),"__","_"),"__","_"),"__","_"),"__","_"),"__","_"))</f>
        <v/>
      </c>
      <c r="N14" s="1">
        <f>IF(OR(M14="",M14="_"),"",IF(LEFT(M14,1)="_",IF(RIGHT(M14,1)="_",MID(M14,2,LEN(M14)-2),RIGHT(M14,LEN(M14)-1)),IF(RIGHT(M14,1)="_",LEFT(M14,LEN(M14)-1),M14)))</f>
        <v/>
      </c>
      <c r="O14" s="1">
        <f>IF(OR(LOWER(TRIM(B14))="",LOWER(TRIM(B14))="nan",LOWER(TRIM(B14))="none",LOWER(TRIM(B14)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B14)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P14" s="1">
        <f>IF(O14="","",SUBSTITUTE(SUBSTITUTE(SUBSTITUTE(SUBSTITUTE(SUBSTITUTE(SUBSTITUTE(SUBSTITUTE(SUBSTITUTE(O14,"__","_"),"__","_"),"__","_"),"__","_"),"__","_"),"__","_"),"__","_"),"__","_"))</f>
        <v/>
      </c>
      <c r="Q14" s="1">
        <f>IF(OR(P14="",P14="_"),"",IF(LEFT(P14,1)="_",IF(RIGHT(P14,1)="_",MID(P14,2,LEN(P14)-2),RIGHT(P14,LEN(P14)-1)),IF(RIGHT(P14,1)="_",LEFT(P14,LEN(P14)-1),P14)))</f>
        <v/>
      </c>
      <c r="R14" s="1">
        <f>IF(OR(LOWER(TRIM(C14))="",LOWER(TRIM(C14))="nan",LOWER(TRIM(C14))="none",LOWER(TRIM(C14)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C14)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S14" s="1">
        <f>IF(R14="","",SUBSTITUTE(SUBSTITUTE(SUBSTITUTE(SUBSTITUTE(SUBSTITUTE(SUBSTITUTE(SUBSTITUTE(SUBSTITUTE(R14,"__","_"),"__","_"),"__","_"),"__","_"),"__","_"),"__","_"),"__","_"),"__","_"))</f>
        <v/>
      </c>
      <c r="T14" s="1">
        <f>IF(OR(S14="",S14="_"),"",IF(LEFT(S14,1)="_",IF(RIGHT(S14,1)="_",MID(S14,2,LEN(S14)-2),RIGHT(S14,LEN(S14)-1)),IF(RIGHT(S14,1)="_",LEFT(S14,LEN(S14)-1),S14)))</f>
        <v/>
      </c>
      <c r="U14" s="1">
        <f>IF(OR(LOWER(TRIM(D14))="",LOWER(TRIM(D14))="nan",LOWER(TRIM(D14))="none",LOWER(TRIM(D14)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D14)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V14" s="1">
        <f>IF(U14="","",SUBSTITUTE(SUBSTITUTE(SUBSTITUTE(SUBSTITUTE(SUBSTITUTE(SUBSTITUTE(SUBSTITUTE(SUBSTITUTE(U14,"__","_"),"__","_"),"__","_"),"__","_"),"__","_"),"__","_"),"__","_"),"__","_"))</f>
        <v/>
      </c>
      <c r="W14" s="1">
        <f>IF(OR(V14="",V14="_"),"",IF(LEFT(V14,1)="_",IF(RIGHT(V14,1)="_",MID(V14,2,LEN(V14)-2),RIGHT(V14,LEN(V14)-1)),IF(RIGHT(V14,1)="_",LEFT(V14,LEN(V14)-1),V14)))</f>
        <v/>
      </c>
      <c r="X14" s="1">
        <f>IF(OR(LOWER(TRIM(E14))="",LOWER(TRIM(E14))="nan",LOWER(TRIM(E14))="none",LOWER(TRIM(E14)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E14)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Y14" s="1">
        <f>IF(X14="","",SUBSTITUTE(SUBSTITUTE(SUBSTITUTE(SUBSTITUTE(SUBSTITUTE(SUBSTITUTE(SUBSTITUTE(SUBSTITUTE(X14,"__","_"),"__","_"),"__","_"),"__","_"),"__","_"),"__","_"),"__","_"),"__","_"))</f>
        <v/>
      </c>
      <c r="Z14" s="1">
        <f>IF(OR(Y14="",Y14="_"),"",IF(LEFT(Y14,1)="_",IF(RIGHT(Y14,1)="_",MID(Y14,2,LEN(Y14)-2),RIGHT(Y14,LEN(Y14)-1)),IF(RIGHT(Y14,1)="_",LEFT(Y14,LEN(Y14)-1),Y14)))</f>
        <v/>
      </c>
    </row>
    <row r="15">
      <c r="A15" s="1" t="inlineStr"/>
      <c r="B15" s="1" t="inlineStr"/>
      <c r="C15" s="1" t="inlineStr"/>
      <c r="D15" s="1" t="inlineStr"/>
      <c r="E15" s="1" t="inlineStr"/>
      <c r="F15" s="1" t="inlineStr"/>
      <c r="G15" s="1" t="inlineStr"/>
      <c r="H15" s="1">
        <f>IF(N15&lt;&gt;"",N15,"")&amp;IF(Q15&lt;&gt;"",IF(N15&lt;&gt;"","_"&amp;Q15,Q15),"")&amp;IF(T15&lt;&gt;"",IF(N15&lt;&gt;"","_"&amp;T15,T15),"")&amp;IF(W15&lt;&gt;"",IF(N15&lt;&gt;"","_"&amp;W15,W15),"")&amp;IF(Z15&lt;&gt;"",IF(N15&lt;&gt;"","_"&amp;Z15,Z15),"")</f>
        <v/>
      </c>
      <c r="I15" s="1">
        <f>IF(TRIM(G15)&lt;&gt;G15,TRIM(G15),IF(TRIM(G15)&lt;&gt;"",G15,H15))</f>
        <v/>
      </c>
      <c r="J15" s="1">
        <f>IF(I15="","RED: complete channel and a meaningful activity distinction",IF(COUNTIF($I$8:$I$25,I15)&gt;1,"AMBER: duplicate final ID — add the next meaningful field; do not add a random number",IF(F15&lt;&gt;"",IF(F15&lt;&gt;I15,"AMBER: existing ID differs from built ID — review lineage","OK: existing ID matches"),"OK: unique in this builder")))</f>
        <v/>
      </c>
      <c r="K15" s="1">
        <f>IF(I15="","", "activity_id="&amp;I15&amp;" | channel="&amp;A15&amp;" | platform="&amp;B15&amp;" | campaign_type="&amp;C15&amp;" | search_platform="&amp;D15&amp;" | search_intent_group_id="&amp;E15)</f>
        <v/>
      </c>
      <c r="L15" s="1">
        <f>IF(OR(LOWER(TRIM(A15))="",LOWER(TRIM(A15))="nan",LOWER(TRIM(A15))="none",LOWER(TRIM(A15)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15)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M15" s="1">
        <f>IF(L15="","",SUBSTITUTE(SUBSTITUTE(SUBSTITUTE(SUBSTITUTE(SUBSTITUTE(SUBSTITUTE(SUBSTITUTE(SUBSTITUTE(L15,"__","_"),"__","_"),"__","_"),"__","_"),"__","_"),"__","_"),"__","_"),"__","_"))</f>
        <v/>
      </c>
      <c r="N15" s="1">
        <f>IF(OR(M15="",M15="_"),"",IF(LEFT(M15,1)="_",IF(RIGHT(M15,1)="_",MID(M15,2,LEN(M15)-2),RIGHT(M15,LEN(M15)-1)),IF(RIGHT(M15,1)="_",LEFT(M15,LEN(M15)-1),M15)))</f>
        <v/>
      </c>
      <c r="O15" s="1">
        <f>IF(OR(LOWER(TRIM(B15))="",LOWER(TRIM(B15))="nan",LOWER(TRIM(B15))="none",LOWER(TRIM(B15)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B15)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P15" s="1">
        <f>IF(O15="","",SUBSTITUTE(SUBSTITUTE(SUBSTITUTE(SUBSTITUTE(SUBSTITUTE(SUBSTITUTE(SUBSTITUTE(SUBSTITUTE(O15,"__","_"),"__","_"),"__","_"),"__","_"),"__","_"),"__","_"),"__","_"),"__","_"))</f>
        <v/>
      </c>
      <c r="Q15" s="1">
        <f>IF(OR(P15="",P15="_"),"",IF(LEFT(P15,1)="_",IF(RIGHT(P15,1)="_",MID(P15,2,LEN(P15)-2),RIGHT(P15,LEN(P15)-1)),IF(RIGHT(P15,1)="_",LEFT(P15,LEN(P15)-1),P15)))</f>
        <v/>
      </c>
      <c r="R15" s="1">
        <f>IF(OR(LOWER(TRIM(C15))="",LOWER(TRIM(C15))="nan",LOWER(TRIM(C15))="none",LOWER(TRIM(C15)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C15)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S15" s="1">
        <f>IF(R15="","",SUBSTITUTE(SUBSTITUTE(SUBSTITUTE(SUBSTITUTE(SUBSTITUTE(SUBSTITUTE(SUBSTITUTE(SUBSTITUTE(R15,"__","_"),"__","_"),"__","_"),"__","_"),"__","_"),"__","_"),"__","_"),"__","_"))</f>
        <v/>
      </c>
      <c r="T15" s="1">
        <f>IF(OR(S15="",S15="_"),"",IF(LEFT(S15,1)="_",IF(RIGHT(S15,1)="_",MID(S15,2,LEN(S15)-2),RIGHT(S15,LEN(S15)-1)),IF(RIGHT(S15,1)="_",LEFT(S15,LEN(S15)-1),S15)))</f>
        <v/>
      </c>
      <c r="U15" s="1">
        <f>IF(OR(LOWER(TRIM(D15))="",LOWER(TRIM(D15))="nan",LOWER(TRIM(D15))="none",LOWER(TRIM(D15)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D15)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V15" s="1">
        <f>IF(U15="","",SUBSTITUTE(SUBSTITUTE(SUBSTITUTE(SUBSTITUTE(SUBSTITUTE(SUBSTITUTE(SUBSTITUTE(SUBSTITUTE(U15,"__","_"),"__","_"),"__","_"),"__","_"),"__","_"),"__","_"),"__","_"),"__","_"))</f>
        <v/>
      </c>
      <c r="W15" s="1">
        <f>IF(OR(V15="",V15="_"),"",IF(LEFT(V15,1)="_",IF(RIGHT(V15,1)="_",MID(V15,2,LEN(V15)-2),RIGHT(V15,LEN(V15)-1)),IF(RIGHT(V15,1)="_",LEFT(V15,LEN(V15)-1),V15)))</f>
        <v/>
      </c>
      <c r="X15" s="1">
        <f>IF(OR(LOWER(TRIM(E15))="",LOWER(TRIM(E15))="nan",LOWER(TRIM(E15))="none",LOWER(TRIM(E15)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E15)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Y15" s="1">
        <f>IF(X15="","",SUBSTITUTE(SUBSTITUTE(SUBSTITUTE(SUBSTITUTE(SUBSTITUTE(SUBSTITUTE(SUBSTITUTE(SUBSTITUTE(X15,"__","_"),"__","_"),"__","_"),"__","_"),"__","_"),"__","_"),"__","_"),"__","_"))</f>
        <v/>
      </c>
      <c r="Z15" s="1">
        <f>IF(OR(Y15="",Y15="_"),"",IF(LEFT(Y15,1)="_",IF(RIGHT(Y15,1)="_",MID(Y15,2,LEN(Y15)-2),RIGHT(Y15,LEN(Y15)-1)),IF(RIGHT(Y15,1)="_",LEFT(Y15,LEN(Y15)-1),Y15)))</f>
        <v/>
      </c>
    </row>
  </sheetData>
  <mergeCells count="3">
    <mergeCell ref="A2:F2"/>
    <mergeCell ref="A1:F1"/>
    <mergeCell ref="A4:F4"/>
  </mergeCells>
  <conditionalFormatting sqref="J8:J25">
    <cfRule type="expression" priority="1" dxfId="0">
      <formula>ISNUMBER(SEARCH("RED",J8))</formula>
    </cfRule>
    <cfRule type="expression" priority="2" dxfId="1">
      <formula>ISNUMBER(SEARCH("AMBER",J8))</formula>
    </cfRule>
    <cfRule type="expression" priority="3" dxfId="2">
      <formula>LEFT(J8,2)="OK"</formula>
    </cfRule>
  </conditionalFormatting>
  <dataValidations count="2">
    <dataValidation sqref="D8:D25" showDropDown="0" showInputMessage="0" showErrorMessage="0" allowBlank="1" errorTitle="Search platform" error="Choose a value from the approved list or leave it blank when the field is optional." promptTitle="Search platform" prompt="Select an approved value." type="list">
      <formula1>"google,bing"</formula1>
    </dataValidation>
    <dataValidation sqref="E8:E25" showDropDown="0" showInputMessage="0" showErrorMessage="0" allowBlank="1" errorTitle="Search intent group" error="Choose a value from the approved list or leave it blank when the field is optional." promptTitle="Search intent group" prompt="Select an approved value." type="list">
      <formula1>"brand_search,non_brand_search"</formula1>
    </dataValidation>
  </dataValidations>
  <pageMargins left="0.75" right="0.75" top="1" bottom="1" header="0.5" footer="0.5"/>
  <pageSetup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25" customWidth="1" min="3" max="3"/>
    <col width="28" customWidth="1" min="4" max="4"/>
    <col width="23" customWidth="1" min="5" max="5"/>
    <col width="48" customWidth="1" min="6" max="6"/>
    <col width="18" customWidth="1" min="7" max="7"/>
    <col width="25" customWidth="1" min="8" max="8"/>
    <col width="48" customWidth="1" min="9" max="9"/>
    <col width="40" customWidth="1" min="10" max="10"/>
  </cols>
  <sheetData>
    <row r="1">
      <c r="A1" s="2" t="inlineStr">
        <is>
          <t>Dictionary field</t>
        </is>
      </c>
      <c r="B1" s="2" t="inlineStr">
        <is>
          <t>Meaning</t>
        </is>
      </c>
      <c r="C1" s="2" t="inlineStr">
        <is>
          <t>RAG status</t>
        </is>
      </c>
      <c r="D1" s="2" t="inlineStr">
        <is>
          <t>Enter/select value</t>
        </is>
      </c>
      <c r="E1" s="2" t="inlineStr">
        <is>
          <t>Used in suggested ID?</t>
        </is>
      </c>
      <c r="F1" s="2" t="inlineStr">
        <is>
          <t>Why or not part of ID</t>
        </is>
      </c>
      <c r="G1" s="2" t="inlineStr">
        <is>
          <t>Column must exist?</t>
        </is>
      </c>
      <c r="H1" s="2" t="inlineStr">
        <is>
          <t>Value must be filled in?</t>
        </is>
      </c>
      <c r="I1" s="2" t="inlineStr">
        <is>
          <t>Allowed values / format</t>
        </is>
      </c>
      <c r="J1" s="2" t="inlineStr">
        <is>
          <t>Can be blank when...</t>
        </is>
      </c>
    </row>
    <row r="2">
      <c r="A2" s="1" t="inlineStr">
        <is>
          <t>period_start</t>
        </is>
      </c>
      <c r="B2" s="1" t="inlineStr">
        <is>
          <t>Start date for the source period.</t>
        </is>
      </c>
      <c r="C2" s="3" t="inlineStr">
        <is>
          <t>RED — Must provide</t>
        </is>
      </c>
      <c r="D2" s="1" t="inlineStr"/>
      <c r="E2" s="1" t="inlineStr">
        <is>
          <t>no</t>
        </is>
      </c>
      <c r="F2" s="1" t="inlineStr">
        <is>
          <t>Dictionary meaning, not stable identity</t>
        </is>
      </c>
      <c r="G2" s="1" t="inlineStr">
        <is>
          <t>Yes</t>
        </is>
      </c>
      <c r="H2" s="1" t="inlineStr">
        <is>
          <t>Yes</t>
        </is>
      </c>
      <c r="I2" s="1" t="inlineStr">
        <is>
          <t>ISO date</t>
        </is>
      </c>
      <c r="J2" s="1" t="inlineStr">
        <is>
          <t>Never.</t>
        </is>
      </c>
    </row>
    <row r="3">
      <c r="A3" s="1" t="inlineStr">
        <is>
          <t>market</t>
        </is>
      </c>
      <c r="B3" s="1" t="inlineStr">
        <is>
          <t>Market for this activity row or dictionary record.</t>
        </is>
      </c>
      <c r="C3" s="3" t="inlineStr">
        <is>
          <t>RED — Must provide</t>
        </is>
      </c>
      <c r="D3" s="1" t="inlineStr"/>
      <c r="E3" s="1" t="inlineStr">
        <is>
          <t>no</t>
        </is>
      </c>
      <c r="F3" s="1" t="inlineStr">
        <is>
          <t>Dictionary meaning, not stable identity</t>
        </is>
      </c>
      <c r="G3" s="1" t="inlineStr">
        <is>
          <t>Yes</t>
        </is>
      </c>
      <c r="H3" s="1" t="inlineStr">
        <is>
          <t>Yes</t>
        </is>
      </c>
      <c r="I3" s="1" t="inlineStr">
        <is>
          <t>Stable market code/label</t>
        </is>
      </c>
      <c r="J3" s="1" t="inlineStr">
        <is>
          <t>Never.</t>
        </is>
      </c>
    </row>
    <row r="4">
      <c r="A4" s="1" t="inlineStr">
        <is>
          <t>activity_id</t>
        </is>
      </c>
      <c r="B4" s="1" t="inlineStr">
        <is>
          <t>Stable identity of the activity at market × activity grain.</t>
        </is>
      </c>
      <c r="C4" s="3" t="inlineStr">
        <is>
          <t>RED — Must provide</t>
        </is>
      </c>
      <c r="D4" s="1" t="inlineStr"/>
      <c r="E4" s="1" t="inlineStr">
        <is>
          <t>no</t>
        </is>
      </c>
      <c r="F4" s="1" t="inlineStr">
        <is>
          <t>Dictionary meaning, not stable identity</t>
        </is>
      </c>
      <c r="G4" s="1" t="inlineStr">
        <is>
          <t>Yes</t>
        </is>
      </c>
      <c r="H4" s="1" t="inlineStr">
        <is>
          <t>Yes</t>
        </is>
      </c>
      <c r="I4" s="1" t="inlineStr">
        <is>
          <t>Stable ID; unique within market</t>
        </is>
      </c>
      <c r="J4" s="1" t="inlineStr">
        <is>
          <t>Never.</t>
        </is>
      </c>
    </row>
    <row r="5">
      <c r="A5" s="1" t="inlineStr">
        <is>
          <t>pooling_group_id</t>
        </is>
      </c>
      <c r="B5" s="1" t="inlineStr">
        <is>
          <t>Optional cross-market identity for similar activity.</t>
        </is>
      </c>
      <c r="C5" s="4" t="inlineStr">
        <is>
          <t>AMBER — Needed for some uses</t>
        </is>
      </c>
      <c r="D5" s="1" t="inlineStr"/>
      <c r="E5" s="1" t="inlineStr">
        <is>
          <t>no</t>
        </is>
      </c>
      <c r="F5" s="1" t="inlineStr">
        <is>
          <t>Dictionary meaning, not stable identity</t>
        </is>
      </c>
      <c r="G5" s="1" t="inlineStr">
        <is>
          <t>Yes</t>
        </is>
      </c>
      <c r="H5" s="1" t="inlineStr">
        <is>
          <t>No</t>
        </is>
      </c>
      <c r="I5" s="1" t="inlineStr">
        <is>
          <t>Stable ID</t>
        </is>
      </c>
      <c r="J5" s="1" t="inlineStr">
        <is>
          <t>When the activity has no governed cross-market peer.</t>
        </is>
      </c>
    </row>
    <row r="6">
      <c r="A6" s="1" t="inlineStr">
        <is>
          <t>channel</t>
        </is>
      </c>
      <c r="B6" s="1" t="inlineStr">
        <is>
          <t>Channel label used by the model and reports.</t>
        </is>
      </c>
      <c r="C6" s="3" t="inlineStr">
        <is>
          <t>RED — Must provide</t>
        </is>
      </c>
      <c r="D6" s="1" t="inlineStr"/>
      <c r="E6" s="1" t="inlineStr">
        <is>
          <t>yes</t>
        </is>
      </c>
      <c r="F6" s="1" t="inlineStr">
        <is>
          <t>Starts the stable activity identity.</t>
        </is>
      </c>
      <c r="G6" s="1" t="inlineStr">
        <is>
          <t>Yes</t>
        </is>
      </c>
      <c r="H6" s="1" t="inlineStr">
        <is>
          <t>Yes</t>
        </is>
      </c>
      <c r="I6" s="1" t="inlineStr">
        <is>
          <t>Text; do not use a generic Brand Search label</t>
        </is>
      </c>
      <c r="J6" s="1" t="inlineStr">
        <is>
          <t>Never.</t>
        </is>
      </c>
    </row>
    <row r="7">
      <c r="A7" s="1" t="inlineStr">
        <is>
          <t>platform</t>
        </is>
      </c>
      <c r="B7" s="1" t="inlineStr">
        <is>
          <t>Buying or delivery platform.</t>
        </is>
      </c>
      <c r="C7" s="4" t="inlineStr">
        <is>
          <t>AMBER — Needed for some uses</t>
        </is>
      </c>
      <c r="D7" s="1" t="inlineStr"/>
      <c r="E7" s="1" t="inlineStr">
        <is>
          <t>only if needed</t>
        </is>
      </c>
      <c r="F7" s="1" t="inlineStr">
        <is>
          <t>Distinguishes platforms when channel alone collides.</t>
        </is>
      </c>
      <c r="G7" s="1" t="inlineStr">
        <is>
          <t>Yes</t>
        </is>
      </c>
      <c r="H7" s="1" t="inlineStr">
        <is>
          <t>Yes for differentiated platform</t>
        </is>
      </c>
      <c r="I7" s="1" t="inlineStr">
        <is>
          <t>Text</t>
        </is>
      </c>
      <c r="J7" s="1" t="inlineStr">
        <is>
          <t>If platform is genuinely not applicable.</t>
        </is>
      </c>
    </row>
    <row r="8">
      <c r="A8" s="1" t="inlineStr">
        <is>
          <t>campaign_type</t>
        </is>
      </c>
      <c r="B8" s="1" t="inlineStr">
        <is>
          <t>Campaign or placement type.</t>
        </is>
      </c>
      <c r="C8" s="4" t="inlineStr">
        <is>
          <t>AMBER — Needed for some uses</t>
        </is>
      </c>
      <c r="D8" s="1" t="inlineStr"/>
      <c r="E8" s="1" t="inlineStr">
        <is>
          <t>only if needed</t>
        </is>
      </c>
      <c r="F8" s="1" t="inlineStr">
        <is>
          <t>Adds the next meaningful distinction when needed.</t>
        </is>
      </c>
      <c r="G8" s="1" t="inlineStr">
        <is>
          <t>Yes</t>
        </is>
      </c>
      <c r="H8" s="1" t="inlineStr">
        <is>
          <t>No</t>
        </is>
      </c>
      <c r="I8" s="1" t="inlineStr">
        <is>
          <t>Text</t>
        </is>
      </c>
      <c r="J8" s="1" t="inlineStr">
        <is>
          <t>When source has no campaign type.</t>
        </is>
      </c>
    </row>
    <row r="9">
      <c r="A9" s="1" t="inlineStr">
        <is>
          <t>marketing_objective</t>
        </is>
      </c>
      <c r="B9" s="1" t="inlineStr">
        <is>
          <t>Why the activity was run.</t>
        </is>
      </c>
      <c r="C9" s="4" t="inlineStr">
        <is>
          <t>AMBER — Needed for some uses</t>
        </is>
      </c>
      <c r="D9" s="1" t="inlineStr"/>
      <c r="E9" s="1" t="inlineStr">
        <is>
          <t>no</t>
        </is>
      </c>
      <c r="F9" s="1" t="inlineStr">
        <is>
          <t>Dictionary meaning, not stable identity</t>
        </is>
      </c>
      <c r="G9" s="1" t="inlineStr">
        <is>
          <t>Yes</t>
        </is>
      </c>
      <c r="H9" s="1" t="inlineStr">
        <is>
          <t>No</t>
        </is>
      </c>
      <c r="I9" s="1" t="inlineStr">
        <is>
          <t>Suggested vocabulary or documented custom</t>
        </is>
      </c>
      <c r="J9" s="1" t="inlineStr">
        <is>
          <t>When not supplied.</t>
        </is>
      </c>
    </row>
    <row r="10">
      <c r="A10" s="1" t="inlineStr">
        <is>
          <t>funnel_stage</t>
        </is>
      </c>
      <c r="B10" s="1" t="inlineStr">
        <is>
          <t>Approved funnel position.</t>
        </is>
      </c>
      <c r="C10" s="4" t="inlineStr">
        <is>
          <t>AMBER — Needed for some uses</t>
        </is>
      </c>
      <c r="D10" s="1" t="inlineStr"/>
      <c r="E10" s="1" t="inlineStr">
        <is>
          <t>no</t>
        </is>
      </c>
      <c r="F10" s="1" t="inlineStr">
        <is>
          <t>Dictionary meaning, not stable identity</t>
        </is>
      </c>
      <c r="G10" s="1" t="inlineStr">
        <is>
          <t>Yes</t>
        </is>
      </c>
      <c r="H10" s="1" t="inlineStr">
        <is>
          <t>Yes for governed classification</t>
        </is>
      </c>
      <c r="I10" s="1" t="inlineStr">
        <is>
          <t>brand_upper, mid_funnel, performance_lower, cross_funnel, not_applicable, unclassified</t>
        </is>
      </c>
      <c r="J10" s="1" t="inlineStr">
        <is>
          <t>Only while unclassified is explicitly accepted.</t>
        </is>
      </c>
    </row>
    <row r="11">
      <c r="A11" s="1" t="inlineStr">
        <is>
          <t>product_advertised</t>
        </is>
      </c>
      <c r="B11" s="1" t="inlineStr">
        <is>
          <t>Product in the creative or offer.</t>
        </is>
      </c>
      <c r="C11" s="4" t="inlineStr">
        <is>
          <t>AMBER — Needed for some uses</t>
        </is>
      </c>
      <c r="D11" s="1" t="inlineStr"/>
      <c r="E11" s="1" t="inlineStr">
        <is>
          <t>no</t>
        </is>
      </c>
      <c r="F11" s="1" t="inlineStr">
        <is>
          <t>Dictionary meaning, not stable identity</t>
        </is>
      </c>
      <c r="G11" s="1" t="inlineStr">
        <is>
          <t>Yes</t>
        </is>
      </c>
      <c r="H11" s="1" t="inlineStr">
        <is>
          <t>No</t>
        </is>
      </c>
      <c r="I11" s="1" t="inlineStr">
        <is>
          <t>Text; approved product names where known</t>
        </is>
      </c>
      <c r="J11" s="1" t="inlineStr">
        <is>
          <t>When activity is product-neutral.</t>
        </is>
      </c>
    </row>
    <row r="12">
      <c r="A12" s="1" t="inlineStr">
        <is>
          <t>message_type</t>
        </is>
      </c>
      <c r="B12" s="1" t="inlineStr">
        <is>
          <t>Message or offer type.</t>
        </is>
      </c>
      <c r="C12" s="4" t="inlineStr">
        <is>
          <t>AMBER — Needed for some uses</t>
        </is>
      </c>
      <c r="D12" s="1" t="inlineStr"/>
      <c r="E12" s="1" t="inlineStr">
        <is>
          <t>no</t>
        </is>
      </c>
      <c r="F12" s="1" t="inlineStr">
        <is>
          <t>Dictionary meaning, not stable identity</t>
        </is>
      </c>
      <c r="G12" s="1" t="inlineStr">
        <is>
          <t>Yes</t>
        </is>
      </c>
      <c r="H12" s="1" t="inlineStr">
        <is>
          <t>No</t>
        </is>
      </c>
      <c r="I12" s="1" t="inlineStr">
        <is>
          <t>Text</t>
        </is>
      </c>
      <c r="J12" s="1" t="inlineStr">
        <is>
          <t>When not available.</t>
        </is>
      </c>
    </row>
    <row r="13">
      <c r="A13" s="1" t="inlineStr">
        <is>
          <t>activity_ownership</t>
        </is>
      </c>
      <c r="B13" s="1" t="inlineStr">
        <is>
          <t>Who controls or supplies the activity.</t>
        </is>
      </c>
      <c r="C13" s="3" t="inlineStr">
        <is>
          <t>RED — Must provide</t>
        </is>
      </c>
      <c r="D13" s="1" t="inlineStr"/>
      <c r="E13" s="1" t="inlineStr">
        <is>
          <t>no</t>
        </is>
      </c>
      <c r="F13" s="1" t="inlineStr">
        <is>
          <t>Dictionary meaning, not stable identity</t>
        </is>
      </c>
      <c r="G13" s="1" t="inlineStr">
        <is>
          <t>Yes</t>
        </is>
      </c>
      <c r="H13" s="1" t="inlineStr">
        <is>
          <t>Yes</t>
        </is>
      </c>
      <c r="I13" s="1" t="inlineStr">
        <is>
          <t>paid, owned, earned, external_event</t>
        </is>
      </c>
      <c r="J13" s="1" t="inlineStr">
        <is>
          <t>Never.</t>
        </is>
      </c>
    </row>
    <row r="14">
      <c r="A14" s="1" t="inlineStr">
        <is>
          <t>intended_model_role</t>
        </is>
      </c>
      <c r="B14" s="1" t="inlineStr">
        <is>
          <t>Intended role in the model.</t>
        </is>
      </c>
      <c r="C14" s="3" t="inlineStr">
        <is>
          <t>RED — Must provide</t>
        </is>
      </c>
      <c r="D14" s="1" t="inlineStr"/>
      <c r="E14" s="1" t="inlineStr">
        <is>
          <t>no</t>
        </is>
      </c>
      <c r="F14" s="1" t="inlineStr">
        <is>
          <t>Dictionary meaning, not stable identity</t>
        </is>
      </c>
      <c r="G14" s="1" t="inlineStr">
        <is>
          <t>Yes</t>
        </is>
      </c>
      <c r="H14" s="1" t="inlineStr">
        <is>
          <t>Yes</t>
        </is>
      </c>
      <c r="I14" s="1" t="inlineStr">
        <is>
          <t>intervention, mediator, demand_capture, control, event</t>
        </is>
      </c>
      <c r="J14" s="1" t="inlineStr">
        <is>
          <t>Never.</t>
        </is>
      </c>
    </row>
    <row r="15">
      <c r="A15" s="1" t="inlineStr">
        <is>
          <t>model_input_column</t>
        </is>
      </c>
      <c r="B15" s="1" t="inlineStr">
        <is>
          <t>Destination column after tidy data is pivoted to model-ready form.</t>
        </is>
      </c>
      <c r="C15" s="3" t="inlineStr">
        <is>
          <t>RED — Must provide</t>
        </is>
      </c>
      <c r="D15" s="1" t="inlineStr"/>
      <c r="E15" s="1" t="inlineStr">
        <is>
          <t>no</t>
        </is>
      </c>
      <c r="F15" s="1" t="inlineStr">
        <is>
          <t>Dictionary meaning, not stable identity</t>
        </is>
      </c>
      <c r="G15" s="1" t="inlineStr">
        <is>
          <t>Yes</t>
        </is>
      </c>
      <c r="H15" s="1" t="inlineStr">
        <is>
          <t>Yes</t>
        </is>
      </c>
      <c r="I15" s="1" t="inlineStr">
        <is>
          <t>Stable wide-column name</t>
        </is>
      </c>
      <c r="J15" s="1" t="inlineStr">
        <is>
          <t>Never.</t>
        </is>
      </c>
    </row>
    <row r="16">
      <c r="A16" s="1" t="inlineStr">
        <is>
          <t>model_input_measure</t>
        </is>
      </c>
      <c r="B16" s="1" t="inlineStr">
        <is>
          <t>Exact raw column selected as the model input.</t>
        </is>
      </c>
      <c r="C16" s="3" t="inlineStr">
        <is>
          <t>RED — Must provide</t>
        </is>
      </c>
      <c r="D16" s="1" t="inlineStr"/>
      <c r="E16" s="1" t="inlineStr">
        <is>
          <t>no</t>
        </is>
      </c>
      <c r="F16" s="1" t="inlineStr">
        <is>
          <t>Dictionary meaning, not stable identity</t>
        </is>
      </c>
      <c r="G16" s="1" t="inlineStr">
        <is>
          <t>Yes</t>
        </is>
      </c>
      <c r="H16" s="1" t="inlineStr">
        <is>
          <t>Yes</t>
        </is>
      </c>
      <c r="I16" s="1" t="inlineStr">
        <is>
          <t>Exact raw header such as spend, clicks, impressions, GRPs</t>
        </is>
      </c>
      <c r="J16" s="1" t="inlineStr">
        <is>
          <t>Never.</t>
        </is>
      </c>
    </row>
    <row r="17">
      <c r="A17" s="1" t="inlineStr">
        <is>
          <t>economic_treatment</t>
        </is>
      </c>
      <c r="B17" s="1" t="inlineStr">
        <is>
          <t>How cost/value is treated.</t>
        </is>
      </c>
      <c r="C17" s="3" t="inlineStr">
        <is>
          <t>RED — Must provide</t>
        </is>
      </c>
      <c r="D17" s="1" t="inlineStr"/>
      <c r="E17" s="1" t="inlineStr">
        <is>
          <t>no</t>
        </is>
      </c>
      <c r="F17" s="1" t="inlineStr">
        <is>
          <t>Dictionary meaning, not stable identity</t>
        </is>
      </c>
      <c r="G17" s="1" t="inlineStr">
        <is>
          <t>Yes</t>
        </is>
      </c>
      <c r="H17" s="1" t="inlineStr">
        <is>
          <t>Yes</t>
        </is>
      </c>
      <c r="I17" s="1" t="inlineStr">
        <is>
          <t>paid_media_cost, fully_loaded_cost, campaign_cost, response_only, not_applicable</t>
        </is>
      </c>
      <c r="J17" s="1" t="inlineStr">
        <is>
          <t>Never.</t>
        </is>
      </c>
    </row>
    <row r="18">
      <c r="A18" s="1" t="inlineStr">
        <is>
          <t>planning_eligibility</t>
        </is>
      </c>
      <c r="B18" s="1" t="inlineStr">
        <is>
          <t>Whether planning or optimisation may use the activity.</t>
        </is>
      </c>
      <c r="C18" s="3" t="inlineStr">
        <is>
          <t>RED — Must provide</t>
        </is>
      </c>
      <c r="D18" s="1" t="inlineStr"/>
      <c r="E18" s="1" t="inlineStr">
        <is>
          <t>no</t>
        </is>
      </c>
      <c r="F18" s="1" t="inlineStr">
        <is>
          <t>Dictionary meaning, not stable identity</t>
        </is>
      </c>
      <c r="G18" s="1" t="inlineStr">
        <is>
          <t>Yes</t>
        </is>
      </c>
      <c r="H18" s="1" t="inlineStr">
        <is>
          <t>Yes</t>
        </is>
      </c>
      <c r="I18" s="1" t="inlineStr">
        <is>
          <t>optimisable, scenario_only, fixed, excluded</t>
        </is>
      </c>
      <c r="J18" s="1" t="inlineStr">
        <is>
          <t>Never.</t>
        </is>
      </c>
    </row>
    <row r="19">
      <c r="A19" s="1" t="inlineStr">
        <is>
          <t>source</t>
        </is>
      </c>
      <c r="B19" s="1" t="inlineStr">
        <is>
          <t>Source system, file, or owner reference.</t>
        </is>
      </c>
      <c r="C19" s="3" t="inlineStr">
        <is>
          <t>RED — Must provide</t>
        </is>
      </c>
      <c r="D19" s="1" t="inlineStr"/>
      <c r="E19" s="1" t="inlineStr">
        <is>
          <t>no</t>
        </is>
      </c>
      <c r="F19" s="1" t="inlineStr">
        <is>
          <t>Dictionary meaning, not stable identity</t>
        </is>
      </c>
      <c r="G19" s="1" t="inlineStr">
        <is>
          <t>Yes</t>
        </is>
      </c>
      <c r="H19" s="1" t="inlineStr">
        <is>
          <t>Yes</t>
        </is>
      </c>
      <c r="I19" s="1" t="inlineStr">
        <is>
          <t>Text with version/date preferred</t>
        </is>
      </c>
      <c r="J19" s="1" t="inlineStr">
        <is>
          <t>Never.</t>
        </is>
      </c>
    </row>
    <row r="20">
      <c r="A20" s="1" t="inlineStr">
        <is>
          <t>model_input_unit</t>
        </is>
      </c>
      <c r="B20" s="1" t="inlineStr">
        <is>
          <t>Unit of the selected model input.</t>
        </is>
      </c>
      <c r="C20" s="4" t="inlineStr">
        <is>
          <t>AMBER — Needed for some uses</t>
        </is>
      </c>
      <c r="D20" s="1" t="inlineStr"/>
      <c r="E20" s="1" t="inlineStr">
        <is>
          <t>no</t>
        </is>
      </c>
      <c r="F20" s="1" t="inlineStr">
        <is>
          <t>Dictionary meaning, not stable identity</t>
        </is>
      </c>
      <c r="G20" s="1" t="inlineStr">
        <is>
          <t>Yes</t>
        </is>
      </c>
      <c r="H20" s="1" t="inlineStr">
        <is>
          <t>Yes for model input</t>
        </is>
      </c>
      <c r="I20" s="1" t="inlineStr">
        <is>
          <t>GBP, impressions, clicks, GRP, TVR, etc.</t>
        </is>
      </c>
      <c r="J20" s="1" t="inlineStr">
        <is>
          <t>When the source unit is recorded elsewhere in a governed mapping.</t>
        </is>
      </c>
    </row>
    <row r="21">
      <c r="A21" s="1" t="inlineStr">
        <is>
          <t>model_input_kind</t>
        </is>
      </c>
      <c r="B21" s="1" t="inlineStr">
        <is>
          <t>Whether input is monetary spend or exposure.</t>
        </is>
      </c>
      <c r="C21" s="4" t="inlineStr">
        <is>
          <t>AMBER — Needed for some uses</t>
        </is>
      </c>
      <c r="D21" s="1" t="inlineStr"/>
      <c r="E21" s="1" t="inlineStr">
        <is>
          <t>no</t>
        </is>
      </c>
      <c r="F21" s="1" t="inlineStr">
        <is>
          <t>Dictionary meaning, not stable identity</t>
        </is>
      </c>
      <c r="G21" s="1" t="inlineStr">
        <is>
          <t>Yes</t>
        </is>
      </c>
      <c r="H21" s="1" t="inlineStr">
        <is>
          <t>Yes for model input</t>
        </is>
      </c>
      <c r="I21" s="1" t="inlineStr">
        <is>
          <t>monetary_spend or exposure</t>
        </is>
      </c>
      <c r="J21" s="1" t="inlineStr">
        <is>
          <t>When a governed mapping supplies it.</t>
        </is>
      </c>
    </row>
    <row r="22">
      <c r="A22" s="1" t="inlineStr">
        <is>
          <t>spend_column</t>
        </is>
      </c>
      <c r="B22" s="1" t="inlineStr">
        <is>
          <t>Raw monetary spend column, if one exists.</t>
        </is>
      </c>
      <c r="C22" s="4" t="inlineStr">
        <is>
          <t>AMBER — Needed for some uses</t>
        </is>
      </c>
      <c r="D22" s="1" t="inlineStr"/>
      <c r="E22" s="1" t="inlineStr">
        <is>
          <t>no</t>
        </is>
      </c>
      <c r="F22" s="1" t="inlineStr">
        <is>
          <t>Dictionary meaning, not stable identity</t>
        </is>
      </c>
      <c r="G22" s="1" t="inlineStr">
        <is>
          <t>Yes</t>
        </is>
      </c>
      <c r="H22" s="1" t="inlineStr">
        <is>
          <t>No</t>
        </is>
      </c>
      <c r="I22" s="1" t="inlineStr">
        <is>
          <t>Exact raw header</t>
        </is>
      </c>
      <c r="J22" s="1" t="inlineStr">
        <is>
          <t>For response-only or non-monetary activity.</t>
        </is>
      </c>
    </row>
    <row r="23">
      <c r="A23" s="1" t="inlineStr">
        <is>
          <t>response_unit_column</t>
        </is>
      </c>
      <c r="B23" s="1" t="inlineStr">
        <is>
          <t>Raw delivery/response column, if one exists.</t>
        </is>
      </c>
      <c r="C23" s="4" t="inlineStr">
        <is>
          <t>AMBER — Needed for some uses</t>
        </is>
      </c>
      <c r="D23" s="1" t="inlineStr"/>
      <c r="E23" s="1" t="inlineStr">
        <is>
          <t>no</t>
        </is>
      </c>
      <c r="F23" s="1" t="inlineStr">
        <is>
          <t>Dictionary meaning, not stable identity</t>
        </is>
      </c>
      <c r="G23" s="1" t="inlineStr">
        <is>
          <t>Yes</t>
        </is>
      </c>
      <c r="H23" s="1" t="inlineStr">
        <is>
          <t>No</t>
        </is>
      </c>
      <c r="I23" s="1" t="inlineStr">
        <is>
          <t>Exact raw header</t>
        </is>
      </c>
      <c r="J23" s="1" t="inlineStr">
        <is>
          <t>When no physical response is supplied.</t>
        </is>
      </c>
    </row>
    <row r="24">
      <c r="A24" s="1" t="inlineStr">
        <is>
          <t>response_unit</t>
        </is>
      </c>
      <c r="B24" s="1" t="inlineStr">
        <is>
          <t>Unit in the response column.</t>
        </is>
      </c>
      <c r="C24" s="4" t="inlineStr">
        <is>
          <t>AMBER — Needed for some uses</t>
        </is>
      </c>
      <c r="D24" s="1" t="inlineStr"/>
      <c r="E24" s="1" t="inlineStr">
        <is>
          <t>no</t>
        </is>
      </c>
      <c r="F24" s="1" t="inlineStr">
        <is>
          <t>Dictionary meaning, not stable identity</t>
        </is>
      </c>
      <c r="G24" s="1" t="inlineStr">
        <is>
          <t>Yes</t>
        </is>
      </c>
      <c r="H24" s="1" t="inlineStr">
        <is>
          <t>No</t>
        </is>
      </c>
      <c r="I24" s="1" t="inlineStr">
        <is>
          <t>Text</t>
        </is>
      </c>
      <c r="J24" s="1" t="inlineStr">
        <is>
          <t>When response_unit_column is blank.</t>
        </is>
      </c>
    </row>
    <row r="25">
      <c r="A25" s="1" t="inlineStr">
        <is>
          <t>currency</t>
        </is>
      </c>
      <c r="B25" s="1" t="inlineStr">
        <is>
          <t>Currency of monetary spend.</t>
        </is>
      </c>
      <c r="C25" s="4" t="inlineStr">
        <is>
          <t>AMBER — Needed for some uses</t>
        </is>
      </c>
      <c r="D25" s="1" t="inlineStr"/>
      <c r="E25" s="1" t="inlineStr">
        <is>
          <t>no</t>
        </is>
      </c>
      <c r="F25" s="1" t="inlineStr">
        <is>
          <t>Dictionary meaning, not stable identity</t>
        </is>
      </c>
      <c r="G25" s="1" t="inlineStr">
        <is>
          <t>Yes</t>
        </is>
      </c>
      <c r="H25" s="1" t="inlineStr">
        <is>
          <t>No</t>
        </is>
      </c>
      <c r="I25" s="1" t="inlineStr">
        <is>
          <t>Uppercase ISO 4217</t>
        </is>
      </c>
      <c r="J25" s="1" t="inlineStr">
        <is>
          <t>For non-monetary activity.</t>
        </is>
      </c>
    </row>
    <row r="26">
      <c r="A26" s="1" t="inlineStr">
        <is>
          <t>effective_from</t>
        </is>
      </c>
      <c r="B26" s="1" t="inlineStr">
        <is>
          <t>Date this mapping becomes active.</t>
        </is>
      </c>
      <c r="C26" s="5" t="inlineStr">
        <is>
          <t>GREEN — Optional</t>
        </is>
      </c>
      <c r="D26" s="1" t="inlineStr"/>
      <c r="E26" s="1" t="inlineStr">
        <is>
          <t>no</t>
        </is>
      </c>
      <c r="F26" s="1" t="inlineStr">
        <is>
          <t>Dictionary meaning, not stable identity</t>
        </is>
      </c>
      <c r="G26" s="1" t="inlineStr">
        <is>
          <t>Yes</t>
        </is>
      </c>
      <c r="H26" s="1" t="inlineStr">
        <is>
          <t>No</t>
        </is>
      </c>
      <c r="I26" s="1" t="inlineStr">
        <is>
          <t>ISO date</t>
        </is>
      </c>
      <c r="J26" s="1" t="inlineStr">
        <is>
          <t>For a stable mapping with no time window.</t>
        </is>
      </c>
    </row>
    <row r="27">
      <c r="A27" s="1" t="inlineStr">
        <is>
          <t>effective_to</t>
        </is>
      </c>
      <c r="B27" s="1" t="inlineStr">
        <is>
          <t>Date this mapping stops being active.</t>
        </is>
      </c>
      <c r="C27" s="5" t="inlineStr">
        <is>
          <t>GREEN — Optional</t>
        </is>
      </c>
      <c r="D27" s="1" t="inlineStr"/>
      <c r="E27" s="1" t="inlineStr">
        <is>
          <t>no</t>
        </is>
      </c>
      <c r="F27" s="1" t="inlineStr">
        <is>
          <t>Dictionary meaning, not stable identity</t>
        </is>
      </c>
      <c r="G27" s="1" t="inlineStr">
        <is>
          <t>Yes</t>
        </is>
      </c>
      <c r="H27" s="1" t="inlineStr">
        <is>
          <t>No</t>
        </is>
      </c>
      <c r="I27" s="1" t="inlineStr">
        <is>
          <t>ISO date</t>
        </is>
      </c>
      <c r="J27" s="1" t="inlineStr">
        <is>
          <t>For a current/open-ended mapping.</t>
        </is>
      </c>
    </row>
    <row r="28">
      <c r="A28" s="1" t="inlineStr">
        <is>
          <t>search_intent_group_id</t>
        </is>
      </c>
      <c r="B28" s="1" t="inlineStr">
        <is>
          <t>Search intent axis such as Brand or Non-Brand.</t>
        </is>
      </c>
      <c r="C28" s="4" t="inlineStr">
        <is>
          <t>AMBER — Needed for some uses</t>
        </is>
      </c>
      <c r="D28" s="1" t="inlineStr"/>
      <c r="E28" s="1" t="inlineStr">
        <is>
          <t>only if needed</t>
        </is>
      </c>
      <c r="F28" s="1" t="inlineStr">
        <is>
          <t>Separates Brand and Non-Brand Search leaves.</t>
        </is>
      </c>
      <c r="G28" s="1" t="inlineStr">
        <is>
          <t>Yes in the governed Search mapping</t>
        </is>
      </c>
      <c r="H28" s="1" t="inlineStr">
        <is>
          <t>Yes for Search taxonomy</t>
        </is>
      </c>
      <c r="I28" s="1" t="inlineStr">
        <is>
          <t>brand_search or non_brand_search; a governed deeper Non-Brand child ID is also accepted once explicitly approved (starts draft)</t>
        </is>
      </c>
      <c r="J28" s="1" t="inlineStr">
        <is>
          <t>For non-Search activities.</t>
        </is>
      </c>
    </row>
    <row r="29">
      <c r="A29" s="1" t="inlineStr">
        <is>
          <t>search_platform</t>
        </is>
      </c>
      <c r="B29" s="1" t="inlineStr">
        <is>
          <t>Search platform axis.</t>
        </is>
      </c>
      <c r="C29" s="4" t="inlineStr">
        <is>
          <t>AMBER — Needed for some uses</t>
        </is>
      </c>
      <c r="D29" s="1" t="inlineStr"/>
      <c r="E29" s="1" t="inlineStr">
        <is>
          <t>only if needed</t>
        </is>
      </c>
      <c r="F29" s="1" t="inlineStr">
        <is>
          <t>Separates Google and Bing Search leaves.</t>
        </is>
      </c>
      <c r="G29" s="1" t="inlineStr">
        <is>
          <t>Yes in the governed Search mapping</t>
        </is>
      </c>
      <c r="H29" s="1" t="inlineStr">
        <is>
          <t>Yes for Search taxonomy</t>
        </is>
      </c>
      <c r="I29" s="1" t="inlineStr">
        <is>
          <t>google or bing</t>
        </is>
      </c>
      <c r="J29" s="1" t="inlineStr">
        <is>
          <t>For non-Search activities.</t>
        </is>
      </c>
    </row>
  </sheetData>
  <autoFilter ref="A1:J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6" t="inlineStr">
        <is>
          <t>How to use this builder</t>
        </is>
      </c>
    </row>
    <row r="3">
      <c r="A3" s="1" t="inlineStr">
        <is>
          <t>1. Complete the editable cells in the Candidate rows sheet.</t>
        </is>
      </c>
    </row>
    <row r="4">
      <c r="A4" s="1" t="inlineStr">
        <is>
          <t>2. Use the suggested ID first. It is based on meaningful identity fields, not every dictionary field.</t>
        </is>
      </c>
    </row>
    <row r="5">
      <c r="A5" s="1" t="inlineStr">
        <is>
          <t>3. If the warning says collision, add the next meaningful AMBER identity field. Do not add a random number.</t>
        </is>
      </c>
    </row>
    <row r="6">
      <c r="A6" s="1" t="inlineStr">
        <is>
          <t>4. Use Manual override ID only when the governed ID already exists. Final ID uses the override when present.</t>
        </is>
      </c>
    </row>
    <row r="7">
      <c r="A7" s="1" t="inlineStr">
        <is>
          <t>5. Excel calculates formulas when the file opens. No VBA is used. The formulas use broadly compatible Excel text and conditional functions.</t>
        </is>
      </c>
    </row>
    <row r="8">
      <c r="A8" s="1" t="n"/>
    </row>
    <row r="9">
      <c r="A9" s="1" t="inlineStr">
        <is>
          <t>Important: an ID is not a business definition. Keep the dictionary fields complete even when a field is not part of the ID.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2" customWidth="1" min="2" max="2"/>
    <col width="52" customWidth="1" min="3" max="3"/>
    <col width="72" customWidth="1" min="4" max="4"/>
  </cols>
  <sheetData>
    <row r="1">
      <c r="A1" s="7" t="inlineStr">
        <is>
          <t>Check</t>
        </is>
      </c>
      <c r="B1" s="7" t="inlineStr">
        <is>
          <t>Good</t>
        </is>
      </c>
      <c r="C1" s="7" t="inlineStr">
        <is>
          <t>Invalid / risky</t>
        </is>
      </c>
      <c r="D1" s="7" t="inlineStr">
        <is>
          <t>Reason</t>
        </is>
      </c>
    </row>
    <row r="2">
      <c r="A2" t="inlineStr">
        <is>
          <t>Raw vs model-ready</t>
        </is>
      </c>
      <c r="B2" t="inlineStr">
        <is>
          <t>model_input_measure=spend; model_input_column=uk_paid_search_google_brand</t>
        </is>
      </c>
      <c r="C2" t="inlineStr">
        <is>
          <t>model_input_measure=uk_paid_search_google_brand</t>
        </is>
      </c>
      <c r="D2" t="inlineStr">
        <is>
          <t>The first is a raw source header; the second is a destination.</t>
        </is>
      </c>
    </row>
    <row r="3">
      <c r="A3" t="inlineStr">
        <is>
          <t>Search leaves</t>
        </is>
      </c>
      <c r="B3" t="inlineStr">
        <is>
          <t>Google Brand, Bing Brand, Google Non-Brand, Bing Non-Brand</t>
        </is>
      </c>
      <c r="C3" t="inlineStr">
        <is>
          <t>One generic Brand Search activity</t>
        </is>
      </c>
      <c r="D3" t="inlineStr">
        <is>
          <t>Parent totals are calculated from explicit leaves.</t>
        </is>
      </c>
    </row>
    <row r="4">
      <c r="A4" t="inlineStr">
        <is>
          <t>Identity</t>
        </is>
      </c>
      <c r="B4" t="inlineStr">
        <is>
          <t>paid_search_google_brand</t>
        </is>
      </c>
      <c r="C4" t="inlineStr">
        <is>
          <t>paid_search_2026_01_05_uk_12345</t>
        </is>
      </c>
      <c r="D4" t="inlineStr">
        <is>
          <t>Do not encode time or random numbers into stable identity.</t>
        </is>
      </c>
    </row>
    <row r="5">
      <c r="A5" t="inlineStr">
        <is>
          <t>Capacity</t>
        </is>
      </c>
      <c r="B5" t="inlineStr">
        <is>
          <t>paid_search_cap as separate governed cap</t>
        </is>
      </c>
      <c r="C5" t="inlineStr">
        <is>
          <t>cap copied into spend</t>
        </is>
      </c>
      <c r="D5" t="inlineStr">
        <is>
          <t>A cap is a constraint, not realised spend.</t>
        </is>
      </c>
    </row>
    <row r="6">
      <c r="A6" t="inlineStr">
        <is>
          <t>Measures</t>
        </is>
      </c>
      <c r="B6" t="inlineStr">
        <is>
          <t>spend + clicks + impressions retained; one selected input</t>
        </is>
      </c>
      <c r="C6" t="inlineStr">
        <is>
          <t>all measures silently summed</t>
        </is>
      </c>
      <c r="D6" t="inlineStr">
        <is>
          <t>Raw measures have different meanings and units.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2026-09-07T15:44:37Z</dcterms:created>
  <dcterms:modified xsi:type="dcterms:W3CDTF">2026-09-07T15:44:37Z</dcterms:modified>
</cp:coreProperties>
</file>